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3a035a5be224c9c" /></Relationships>
</file>

<file path=xl/workbook.xml><?xml version="1.0" encoding="utf-8"?>
<x:workbook xmlns:x="http://schemas.openxmlformats.org/spreadsheetml/2006/main">
  <x:sheets>
    <x:sheet xmlns:r="http://schemas.openxmlformats.org/officeDocument/2006/relationships" name="Search Log" sheetId="1" r:id="Rfd94b404e3ba4232"/>
    <x:sheet xmlns:r="http://schemas.openxmlformats.org/officeDocument/2006/relationships" name="Candidates" sheetId="2" r:id="R9306b8c91d2948d7"/>
    <x:sheet xmlns:r="http://schemas.openxmlformats.org/officeDocument/2006/relationships" name="Deep Read" sheetId="3" r:id="R1a41137197b744d8"/>
    <x:sheet xmlns:r="http://schemas.openxmlformats.org/officeDocument/2006/relationships" name="Verification" sheetId="4" r:id="Ra6bfe5ae02904ab7"/>
    <x:sheet xmlns:r="http://schemas.openxmlformats.org/officeDocument/2006/relationships" name="Summary" sheetId="5" r:id="R19474bf95f5348fa"/>
    <x:sheet xmlns:r="http://schemas.openxmlformats.org/officeDocument/2006/relationships" name="Deep Read View" sheetId="6" r:id="Reca1af2c550e473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8">
    <x:font>
      <x:sz val="11"/>
      <x:name val="Carlito"/>
    </x:font>
    <x:font>
      <x:b/>
      <x:sz val="16"/>
      <x:color rgb="FFFFFFFF"/>
      <x:name val="Carlito"/>
    </x:font>
    <x:font>
      <x:b/>
      <x:sz val="11"/>
      <x:color rgb="FF17365D"/>
      <x:name val="Carlito"/>
    </x:font>
    <x:font>
      <x:b/>
      <x:sz val="11"/>
      <x:color rgb="FF375623"/>
      <x:name val="Carlito"/>
    </x:font>
    <x:font>
      <x:sz val="11"/>
      <x:color rgb="FF7F6000"/>
      <x:name val="Carlito"/>
    </x:font>
    <x:font>
      <x:b/>
      <x:sz val="11"/>
      <x:color rgb="FFFFFFFF"/>
      <x:name val="Carlito"/>
    </x:font>
    <x:font>
      <x:b/>
      <x:sz val="10"/>
      <x:color rgb="FFFFFFFF"/>
      <x:name val="Aptos"/>
    </x:font>
    <x:font>
      <x:sz val="10"/>
      <x:name val="Aptos"/>
    </x:font>
  </x:fonts>
  <x:fills count="6">
    <x:fill>
      <x:patternFill patternType="none"/>
    </x:fill>
    <x:fill>
      <x:patternFill patternType="gray125"/>
    </x:fill>
    <x:fill>
      <x:patternFill patternType="solid">
        <x:fgColor rgb="FF17365D"/>
      </x:patternFill>
    </x:fill>
    <x:fill>
      <x:patternFill patternType="solid">
        <x:fgColor rgb="FFD9EAF7"/>
      </x:patternFill>
    </x:fill>
    <x:fill>
      <x:patternFill patternType="solid">
        <x:fgColor rgb="FFE2F0D9"/>
      </x:patternFill>
    </x:fill>
    <x:fill>
      <x:patternFill patternType="solid">
        <x:fgColor rgb="FFFFF2CC"/>
      </x:patternFill>
    </x:fill>
  </x:fills>
  <x:borders count="24">
    <x:border/>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9FBAD0"/>
      </x:top>
      <x:bottom style="thin">
        <x:color rgb="FFD9E2F3"/>
      </x:bottom>
    </x:border>
    <x:border>
      <x:right style="thin">
        <x:color rgb="FF9FBAD0"/>
      </x:right>
      <x:top style="thin">
        <x:color rgb="FF9FBAD0"/>
      </x:top>
      <x:bottom style="thin">
        <x:color rgb="FFD9E2F3"/>
      </x:bottom>
    </x:border>
    <x:border>
      <x:left style="thin">
        <x:color rgb="FF9FBAD0"/>
      </x:left>
      <x:top style="thin">
        <x:color rgb="FFD9E2F3"/>
      </x:top>
      <x:bottom style="thin">
        <x:color rgb="FFD9E2F3"/>
      </x:bottom>
    </x:border>
    <x:border>
      <x:right style="thin">
        <x:color rgb="FF9FBAD0"/>
      </x:right>
      <x:top style="thin">
        <x:color rgb="FFD9E2F3"/>
      </x:top>
      <x:bottom style="thin">
        <x:color rgb="FFD9E2F3"/>
      </x:bottom>
    </x:border>
    <x:border>
      <x:left style="thin">
        <x:color rgb="FF9FBAD0"/>
      </x:left>
      <x:top style="thin">
        <x:color rgb="FFD9E2F3"/>
      </x:top>
      <x:bottom style="thin">
        <x:color rgb="FF9FBAD0"/>
      </x:bottom>
    </x:border>
    <x:border>
      <x:right style="thin">
        <x:color rgb="FF9FBAD0"/>
      </x:right>
      <x:top style="thin">
        <x:color rgb="FFD9E2F3"/>
      </x:top>
      <x:bottom style="thin">
        <x:color rgb="FF9FBAD0"/>
      </x:bottom>
    </x:border>
    <x:border>
      <x:left style="thin">
        <x:color rgb="FF9FBAD0"/>
      </x:left>
      <x:top style="thin">
        <x:color rgb="FF9FBAD0"/>
      </x:top>
      <x:bottom style="thin">
        <x:color rgb="FFD9E2F3"/>
      </x:bottom>
    </x:border>
    <x:border>
      <x:right style="thin">
        <x:color rgb="FF9FBAD0"/>
      </x:right>
      <x:top style="thin">
        <x:color rgb="FF9FBAD0"/>
      </x:top>
      <x:bottom style="thin">
        <x:color rgb="FFD9E2F3"/>
      </x:bottom>
    </x:border>
    <x:border>
      <x:left style="thin">
        <x:color rgb="FF9FBAD0"/>
      </x:left>
      <x:top style="thin">
        <x:color rgb="FFD9E2F3"/>
      </x:top>
      <x:bottom style="thin">
        <x:color rgb="FFD9E2F3"/>
      </x:bottom>
    </x:border>
    <x:border>
      <x:right style="thin">
        <x:color rgb="FF9FBAD0"/>
      </x:right>
      <x:top style="thin">
        <x:color rgb="FFD9E2F3"/>
      </x:top>
      <x:bottom style="thin">
        <x:color rgb="FFD9E2F3"/>
      </x:bottom>
    </x:border>
    <x:border>
      <x:left style="thin">
        <x:color rgb="FF9FBAD0"/>
      </x:left>
      <x:top style="thin">
        <x:color rgb="FFD9E2F3"/>
      </x:top>
      <x:bottom style="thin">
        <x:color rgb="FF9FBAD0"/>
      </x:bottom>
    </x:border>
    <x:border>
      <x:right style="thin">
        <x:color rgb="FF9FBAD0"/>
      </x:right>
      <x:top style="thin">
        <x:color rgb="FFD9E2F3"/>
      </x:top>
      <x:bottom style="thin">
        <x:color rgb="FF9FBAD0"/>
      </x:bottom>
    </x:border>
    <x:border>
      <x:bottom style="thin">
        <x:color rgb="FFD9E2F3"/>
      </x:bottom>
    </x:border>
    <x:border>
      <x:top style="thin">
        <x:color rgb="FFD9E2F3"/>
      </x:top>
      <x:bottom style="thin">
        <x:color rgb="FFD9E2F3"/>
      </x:bottom>
    </x:border>
    <x:border>
      <x:top style="thin">
        <x:color rgb="FFD9E2F3"/>
      </x:top>
    </x:border>
    <x:border>
      <x:bottom style="thin">
        <x:color rgb="FFD9E2F3"/>
      </x:bottom>
    </x:border>
    <x:border>
      <x:top style="thin">
        <x:color rgb="FFD9E2F3"/>
      </x:top>
      <x:bottom style="thin">
        <x:color rgb="FFD9E2F3"/>
      </x:bottom>
    </x:border>
    <x:border>
      <x:top style="thin">
        <x:color rgb="FFD9E2F3"/>
      </x:top>
    </x:border>
  </x:borders>
  <x:cellStyleXfs count="1">
    <x:xf numFmtId="0" fontId="0" fillId="0" borderId="0"/>
  </x:cellStyleXfs>
  <x:cellXfs count="68">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vertical="center"/>
    </x:xf>
    <x:xf numFmtId="0" fontId="1" fillId="2" borderId="1" xfId="0" applyNumberFormat="1" applyFont="1" applyFill="1" applyBorder="1" applyAlignment="1">
      <x:alignment vertical="center"/>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16" xfId="0" applyNumberFormat="1" applyFont="1" applyFill="1" applyBorder="1"/>
    <x:xf numFmtId="0" fontId="0" fillId="0" borderId="17" xfId="0" applyNumberFormat="1" applyFont="1" applyFill="1" applyBorder="1"/>
    <x:xf numFmtId="0" fontId="0" fillId="4" borderId="11" xfId="0" applyNumberFormat="1" applyFont="1" applyFill="1" applyBorder="1"/>
    <x:xf numFmtId="0" fontId="0" fillId="4" borderId="17" xfId="0" applyNumberFormat="1" applyFont="1" applyFill="1" applyBorder="1"/>
    <x:xf numFmtId="0" fontId="3" fillId="4" borderId="11" xfId="0" applyNumberFormat="1" applyFont="1" applyFill="1" applyBorder="1"/>
    <x:xf numFmtId="0" fontId="3" fillId="4"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5" borderId="0" xfId="0" applyNumberFormat="1" applyFont="1" applyFill="1" applyBorder="1"/>
    <x:xf numFmtId="0" fontId="0" fillId="5" borderId="1"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0" xfId="0" applyNumberFormat="1" applyFont="1" applyFill="1" applyBorder="1" applyAlignment="1">
      <x:alignment vertical="center" wrapText="1"/>
    </x:xf>
    <x:xf numFmtId="0" fontId="4" fillId="5" borderId="1" xfId="0" applyNumberFormat="1" applyFont="1" applyFill="1" applyBorder="1" applyAlignment="1">
      <x:alignment vertical="center" wrapText="1"/>
    </x:xf>
    <x:xf numFmtId="0" fontId="5" fillId="2" borderId="0" xfId="0" applyNumberFormat="1" applyFont="1" applyFill="1" applyBorder="1"/>
    <x:xf numFmtId="0" fontId="5" fillId="2" borderId="1" xfId="0" applyNumberFormat="1" applyFont="1" applyFill="1" applyBorder="1"/>
    <x:xf numFmtId="0" fontId="5" fillId="2" borderId="0" xfId="0" applyNumberFormat="1" applyFont="1" applyFill="1" applyBorder="1" applyAlignment="1">
      <x:alignment wrapText="1"/>
    </x:xf>
    <x:xf numFmtId="0" fontId="5" fillId="2"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5" fillId="2" borderId="0" xfId="0" applyNumberFormat="1" applyFont="1" applyFill="1" applyBorder="1" applyAlignment="1">
      <x:alignment vertical="center" wrapText="1"/>
    </x:xf>
    <x:xf numFmtId="0" fontId="5" fillId="2" borderId="1" xfId="0" applyNumberFormat="1" applyFont="1" applyFill="1" applyBorder="1" applyAlignment="1">
      <x:alignment vertical="center" wrapText="1"/>
    </x:xf>
    <x:xf numFmtId="0" fontId="6" fillId="2" borderId="0" xfId="0" applyNumberFormat="1" applyFont="1" applyFill="1" applyBorder="1" applyAlignment="1">
      <x:alignment vertical="center" wrapText="1"/>
    </x:xf>
    <x:xf numFmtId="0" fontId="7" fillId="0" borderId="0" xfId="0" applyNumberFormat="1" applyFont="1" applyFill="1" applyBorder="1"/>
    <x:xf numFmtId="0" fontId="6" fillId="2" borderId="1" xfId="0" applyNumberFormat="1" applyFont="1" applyFill="1" applyBorder="1" applyAlignment="1">
      <x:alignment vertical="center" wrapText="1"/>
    </x:xf>
    <x:xf numFmtId="0" fontId="7" fillId="0" borderId="1" xfId="0" applyNumberFormat="1" applyFont="1" applyFill="1" applyBorder="1"/>
    <x:xf numFmtId="0" fontId="6" fillId="2" borderId="0" xfId="0" applyNumberFormat="1" applyFont="1" applyFill="1" applyBorder="1" applyAlignment="1">
      <x:alignment vertical="top" wrapText="1"/>
    </x:xf>
    <x:xf numFmtId="0" fontId="7" fillId="0" borderId="0" xfId="0" applyNumberFormat="1" applyFont="1" applyFill="1" applyBorder="1" applyAlignment="1">
      <x:alignment vertical="top"/>
    </x:xf>
    <x:xf numFmtId="0" fontId="6" fillId="2" borderId="1" xfId="0" applyNumberFormat="1" applyFont="1" applyFill="1" applyBorder="1" applyAlignment="1">
      <x:alignment vertical="top" wrapText="1"/>
    </x:xf>
    <x:xf numFmtId="0" fontId="7" fillId="0" borderId="1" xfId="0" applyNumberFormat="1" applyFont="1" applyFill="1" applyBorder="1" applyAlignment="1">
      <x:alignment vertical="top"/>
    </x:xf>
    <x:xf numFmtId="200" fontId="7" fillId="0" borderId="0" xfId="0" applyNumberFormat="1" applyFont="1" applyFill="1" applyBorder="1" applyAlignment="1">
      <x:alignment vertical="top"/>
    </x:xf>
    <x:xf numFmtId="200" fontId="0" fillId="0" borderId="0" xfId="0" applyNumberFormat="1" applyFont="1" applyFill="1" applyBorder="1"/>
    <x:xf numFmtId="200" fontId="7" fillId="0" borderId="1" xfId="0" applyNumberFormat="1" applyFont="1" applyFill="1" applyBorder="1" applyAlignment="1">
      <x:alignment vertical="top"/>
    </x:xf>
    <x:xf numFmtId="200" fontId="0" fillId="0"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5ce60b23e254332" /><Relationship Type="http://schemas.openxmlformats.org/officeDocument/2006/relationships/theme" Target="/xl/theme/theme1.xml" Id="R0c60f53984f749ed" /><Relationship Type="http://schemas.openxmlformats.org/officeDocument/2006/relationships/sharedStrings" Target="/xl/sharedStrings.xml" Id="Ra2cc115940f64012" /><Relationship Type="http://schemas.openxmlformats.org/officeDocument/2006/relationships/worksheet" Target="/xl/worksheets/sheet1.xml" Id="Rfd94b404e3ba4232" /><Relationship Type="http://schemas.openxmlformats.org/officeDocument/2006/relationships/worksheet" Target="/xl/worksheets/sheet2.xml" Id="R9306b8c91d2948d7" /><Relationship Type="http://schemas.openxmlformats.org/officeDocument/2006/relationships/worksheet" Target="/xl/worksheets/sheet3.xml" Id="R1a41137197b744d8" /><Relationship Type="http://schemas.openxmlformats.org/officeDocument/2006/relationships/worksheet" Target="/xl/worksheets/sheet4.xml" Id="Ra6bfe5ae02904ab7" /><Relationship Type="http://schemas.openxmlformats.org/officeDocument/2006/relationships/worksheet" Target="/xl/worksheets/sheet5.xml" Id="R19474bf95f5348fa" /><Relationship Type="http://schemas.openxmlformats.org/officeDocument/2006/relationships/worksheet" Target="/xl/worksheets/sheet6.xml" Id="Reca1af2c550e473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30" hidden="0" customWidth="1"/>
    <x:col min="4" max="4" width="42" hidden="0" customWidth="1"/>
    <x:col min="5" max="5" width="34" hidden="0" customWidth="1"/>
    <x:col min="6" max="6" width="38" hidden="0" customWidth="1"/>
    <x:col min="7" max="7" width="18" hidden="0" customWidth="1"/>
    <x:col min="8" max="8" width="18" hidden="0" customWidth="1"/>
    <x:col min="9" max="9" width="55" hidden="0" customWidth="1"/>
  </x:cols>
  <x:sheetData>
    <x:row r="1" ht="32" customHeight="1">
      <x:c r="A1" s="60" t="str">
        <x:v>﻿search_id</x:v>
      </x:c>
      <x:c r="B1" s="60" t="str">
        <x:v>executed_at (UTC)</x:v>
      </x:c>
      <x:c r="C1" s="60" t="str">
        <x:v>provider</x:v>
      </x:c>
      <x:c r="D1" s="60" t="str">
        <x:v>query</x:v>
      </x:c>
      <x:c r="E1" s="60" t="str">
        <x:v>filters</x:v>
      </x:c>
      <x:c r="F1" s="60" t="str">
        <x:v>result_id</x:v>
      </x:c>
      <x:c r="G1" s="60" t="str">
        <x:v>raw_hits</x:v>
      </x:c>
      <x:c r="H1" s="60" t="str">
        <x:v>status</x:v>
      </x:c>
      <x:c r="I1" s="60" t="str">
        <x:v>notes</x:v>
      </x:c>
    </x:row>
    <x:row r="2">
      <x:c r="A2" s="61" t="str">
        <x:v>S01</x:v>
      </x:c>
      <x:c r="B2" s="64" t="n">
        <x:v>46244.01750061342</x:v>
      </x:c>
      <x:c r="C2" s="61" t="str">
        <x:v>Sider Scholar / Google Scholar</x:v>
      </x:c>
      <x:c r="D2" s="61" t="str">
        <x:v>site:ieeexplore.ieee.org lithium-ion battery state of health estimation</x:v>
      </x:c>
      <x:c r="E2" s="61" t="str">
        <x:v>year_start=2024;year_end=2026;count=20</x:v>
      </x:c>
      <x:c r="F2" s="61" t="str">
        <x:v>96e25bb5-847d-4c6d-95a7-3b3b3a95c722</x:v>
      </x:c>
      <x:c r="G2" s="61" t="str">
        <x:v>0</x:v>
      </x:c>
      <x:c r="H2" s="61" t="str">
        <x:v>completed_zero_hit</x:v>
      </x:c>
      <x:c r="I2" s="61" t="str">
        <x:v>Connector did not support the site: syntax; retained as a zero-hit search.</x:v>
      </x:c>
    </x:row>
    <x:row r="3">
      <x:c r="A3" s="61" t="str">
        <x:v>S02</x:v>
      </x:c>
      <x:c r="B3" s="64" t="n">
        <x:v>46244.01750061342</x:v>
      </x:c>
      <x:c r="C3" s="61" t="str">
        <x:v>Sider Scholar / OpenAlex</x:v>
      </x:c>
      <x:c r="D3" s="61" t="str">
        <x:v>lithium ion battery state health estimation</x:v>
      </x:c>
      <x:c r="E3" s="61" t="str">
        <x:v>from=2024-08-10;to=2026-08-10;per_page=40</x:v>
      </x:c>
      <x:c r="F3" s="61" t="str">
        <x:v>eea7b8f2-595f-48df-a080-d23a53304a4d</x:v>
      </x:c>
      <x:c r="G3" s="61" t="str">
        <x:v>30</x:v>
      </x:c>
      <x:c r="H3" s="61" t="str">
        <x:v>completed_noisy</x:v>
      </x:c>
      <x:c r="I3" s="61" t="str">
        <x:v>Broad query; many unrelated records. Used only for recall.</x:v>
      </x:c>
    </x:row>
    <x:row r="4">
      <x:c r="A4" s="61" t="str">
        <x:v>S03</x:v>
      </x:c>
      <x:c r="B4" s="64" t="n">
        <x:v>46244.01750061342</x:v>
      </x:c>
      <x:c r="C4" s="61" t="str">
        <x:v>Sider Scholar / OpenAlex</x:v>
      </x:c>
      <x:c r="D4" s="61" t="str">
        <x:v>battery SOH domain adaptation generalization</x:v>
      </x:c>
      <x:c r="E4" s="61" t="str">
        <x:v>from=2024-08-10;to=2026-08-10;per_page=40</x:v>
      </x:c>
      <x:c r="F4" s="61" t="str">
        <x:v>fba6d658-038b-47c4-981b-66c933449f7d</x:v>
      </x:c>
      <x:c r="G4" s="61" t="str">
        <x:v>36</x:v>
      </x:c>
      <x:c r="H4" s="61" t="str">
        <x:v>completed_noisy</x:v>
      </x:c>
      <x:c r="I4" s="61" t="str">
        <x:v>Domain-shift search; screened by title and IEEE metadata.</x:v>
      </x:c>
    </x:row>
    <x:row r="5">
      <x:c r="A5" s="61" t="str">
        <x:v>S04</x:v>
      </x:c>
      <x:c r="B5" s="64" t="n">
        <x:v>46244.01750061342</x:v>
      </x:c>
      <x:c r="C5" s="61" t="str">
        <x:v>Sider Scholar / OpenAlex</x:v>
      </x:c>
      <x:c r="D5" s="61" t="str">
        <x:v>battery SOH uncertainty robust noise</x:v>
      </x:c>
      <x:c r="E5" s="61" t="str">
        <x:v>from=2024-08-10;to=2026-08-10;per_page=40</x:v>
      </x:c>
      <x:c r="F5" s="61" t="str">
        <x:v>e255bbec-5366-426b-82e9-b33817ed5403</x:v>
      </x:c>
      <x:c r="G5" s="61" t="str">
        <x:v>40</x:v>
      </x:c>
      <x:c r="H5" s="61" t="str">
        <x:v>completed_noisy</x:v>
      </x:c>
      <x:c r="I5" s="61" t="str">
        <x:v>Robustness/uncertainty search; many false positives retained in raw count.</x:v>
      </x:c>
    </x:row>
    <x:row r="6">
      <x:c r="A6" s="61" t="str">
        <x:v>S05</x:v>
      </x:c>
      <x:c r="B6" s="64" t="n">
        <x:v>46244.01750061342</x:v>
      </x:c>
      <x:c r="C6" s="61" t="str">
        <x:v>Sider Scholar / Google Scholar</x:v>
      </x:c>
      <x:c r="D6" s="61" t="str">
        <x:v>IEEE Transactions battery state of health estimation transfer learning</x:v>
      </x:c>
      <x:c r="E6" s="61" t="str">
        <x:v>year_start=2024;year_end=2026;count=20</x:v>
      </x:c>
      <x:c r="F6" s="61" t="str">
        <x:v>4582e668-fd95-4a9c-b66b-9c7e94300085</x:v>
      </x:c>
      <x:c r="G6" s="61" t="str">
        <x:v>20</x:v>
      </x:c>
      <x:c r="H6" s="61" t="str">
        <x:v>completed_noisy</x:v>
      </x:c>
      <x:c r="I6" s="61" t="str">
        <x:v>ResearchGate/thesis contamination observed; not accepted without DOI verification.</x:v>
      </x:c>
    </x:row>
    <x:row r="7">
      <x:c r="A7" s="61" t="str">
        <x:v>S06</x:v>
      </x:c>
      <x:c r="B7" s="64" t="n">
        <x:v>46244.01750061342</x:v>
      </x:c>
      <x:c r="C7" s="61" t="str">
        <x:v>Sider Scholar / Google Scholar</x:v>
      </x:c>
      <x:c r="D7" s="61" t="str">
        <x:v>IEEE battery state of health partial charging</x:v>
      </x:c>
      <x:c r="E7" s="61" t="str">
        <x:v>year_start=2024;year_end=2026;count=20</x:v>
      </x:c>
      <x:c r="F7" s="61" t="str">
        <x:v>9debf237-dd31-4be8-af28-3a14d9929b45</x:v>
      </x:c>
      <x:c r="G7" s="61" t="str">
        <x:v>20</x:v>
      </x:c>
      <x:c r="H7" s="61" t="str">
        <x:v>completed_noisy</x:v>
      </x:c>
      <x:c r="I7" s="61" t="str">
        <x:v>No result was promoted solely from this query.</x:v>
      </x:c>
    </x:row>
    <x:row r="8">
      <x:c r="A8" s="61" t="str">
        <x:v>S07</x:v>
      </x:c>
      <x:c r="B8" s="64" t="n">
        <x:v>46244.01750061342</x:v>
      </x:c>
      <x:c r="C8" s="61" t="str">
        <x:v>Sider Scholar / Google Scholar</x:v>
      </x:c>
      <x:c r="D8" s="61" t="str">
        <x:v>IEEE battery state of health uncertainty estimation</x:v>
      </x:c>
      <x:c r="E8" s="61" t="str">
        <x:v>year_start=2024;year_end=2026;count=20</x:v>
      </x:c>
      <x:c r="F8" s="61" t="str">
        <x:v>82a7466d-8146-4186-be42-84f4160e580a</x:v>
      </x:c>
      <x:c r="G8" s="61" t="str">
        <x:v>20</x:v>
      </x:c>
      <x:c r="H8" s="61" t="str">
        <x:v>completed_noisy</x:v>
      </x:c>
      <x:c r="I8" s="61" t="str">
        <x:v>Used for candidate discovery only.</x:v>
      </x:c>
    </x:row>
    <x:row r="9">
      <x:c r="A9" s="61" t="str">
        <x:v>S08</x:v>
      </x:c>
      <x:c r="B9" s="64" t="n">
        <x:v>46244.01750061342</x:v>
      </x:c>
      <x:c r="C9" s="61" t="str">
        <x:v>Sider Scholar / Google Scholar</x:v>
      </x:c>
      <x:c r="D9" s="61" t="str">
        <x:v>IEEE battery SOH online lightweight estimation</x:v>
      </x:c>
      <x:c r="E9" s="61" t="str">
        <x:v>year_start=2024;year_end=2026;count=20</x:v>
      </x:c>
      <x:c r="F9" s="61" t="str">
        <x:v>05ad1beb-41df-4ad1-9062-131780238a4a</x:v>
      </x:c>
      <x:c r="G9" s="61" t="str">
        <x:v>20</x:v>
      </x:c>
      <x:c r="H9" s="61" t="str">
        <x:v>completed_noisy</x:v>
      </x:c>
      <x:c r="I9" s="61" t="str">
        <x:v>Used for candidate discovery only.</x:v>
      </x:c>
    </x:row>
    <x:row r="10">
      <x:c r="A10" s="61" t="str">
        <x:v>S09</x:v>
      </x:c>
      <x:c r="B10" s="64" t="n">
        <x:v>46244.01750061342</x:v>
      </x:c>
      <x:c r="C10" s="61" t="str">
        <x:v>Sider Scholar / OpenAlex advanced</x:v>
      </x:c>
      <x:c r="D10" s="61" t="str">
        <x:v>title:state of health AND abstract:lithium ion battery</x:v>
      </x:c>
      <x:c r="E10" s="61" t="str">
        <x:v>from=2024-08-10;to=2026-08-10;per_page=100</x:v>
      </x:c>
      <x:c r="F10" s="61" t="str">
        <x:v>0b4e5065-ee19-4ba6-98c5-04b4c9744e09</x:v>
      </x:c>
      <x:c r="G10" s="61" t="str">
        <x:v>98</x:v>
      </x:c>
      <x:c r="H10" s="61" t="str">
        <x:v>completed_noisy</x:v>
      </x:c>
      <x:c r="I10" s="61" t="str">
        <x:v>Field matching was overly broad; title/DOI screening required.</x:v>
      </x:c>
    </x:row>
    <x:row r="11">
      <x:c r="A11" s="61" t="str">
        <x:v>S10</x:v>
      </x:c>
      <x:c r="B11" s="64" t="n">
        <x:v>46244.01750061342</x:v>
      </x:c>
      <x:c r="C11" s="61" t="str">
        <x:v>Sider Scholar / OpenAlex single-work lookup</x:v>
      </x:c>
      <x:c r="D11" s="61" t="str">
        <x:v>8 selected IEEE DOI lookups</x:v>
      </x:c>
      <x:c r="E11" s="61" t="str">
        <x:v>get_open_access_work</x:v>
      </x:c>
      <x:c r="F11" s="61" t="str">
        <x:v>multiple; see notes</x:v>
      </x:c>
      <x:c r="G11" s="61" t="str">
        <x:v>0</x:v>
      </x:c>
      <x:c r="H11" s="61" t="str">
        <x:v>api_degraded</x:v>
      </x:c>
      <x:c r="I11" s="61" t="str">
        <x:v>All eight calls returned OpenAlex 404 because the connector passed bare DOI as a work path; Crossref and Semantic Scholar were used for independent verification.</x:v>
      </x:c>
    </x:row>
    <x:row r="12">
      <x:c r="A12" s="61" t="str">
        <x:v>S11</x:v>
      </x:c>
      <x:c r="B12" s="64" t="n">
        <x:v>46244.01750061342</x:v>
      </x:c>
      <x:c r="C12" s="61" t="str">
        <x:v>Crossref / IEEE member 263</x:v>
      </x:c>
      <x:c r="D12" s="61" t="str">
        <x:v>state of health battery; then exact DOI fallback for deep-read omissions</x:v>
      </x:c>
      <x:c r="E12" s="61" t="str">
        <x:v>from=2024-08-10;to=2026-08-10;member=263;rows=100</x:v>
      </x:c>
      <x:c r="F12" s="61" t="str">
        <x:v>crossref_live_query</x:v>
      </x:c>
      <x:c r="G12" s="61" t="str">
        <x:v>103</x:v>
      </x:c>
      <x:c r="H12" s="61" t="str">
        <x:v>completed_after_retry</x:v>
      </x:c>
      <x:c r="I12" s="61" t="str">
        <x:v>The first build correctly failed because five verified deep-read DOI records were omitted by the relevance-ranked top 100. Exact DOI lookup added them; no source was fabricated or silently dropped.</x:v>
      </x:c>
    </x:row>
    <x:row r="13">
      <x:c r="A13" s="61" t="str">
        <x:v>S12</x:v>
      </x:c>
      <x:c r="B13" s="64" t="n">
        <x:v>46244.01750061342</x:v>
      </x:c>
      <x:c r="C13" s="61" t="str">
        <x:v>Semantic Scholar Graph API</x:v>
      </x:c>
      <x:c r="D13" s="61" t="str">
        <x:v>10 exact DOI abstract lookups</x:v>
      </x:c>
      <x:c r="E13" s="61" t="str">
        <x:v>title,abstract,authors,year,venue,publicationDate,externalIds</x:v>
      </x:c>
      <x:c r="F13" s="61" t="str">
        <x:v>semantic_scholar_live_queries</x:v>
      </x:c>
      <x:c r="G13" s="61" t="str">
        <x:v>10</x:v>
      </x:c>
      <x:c r="H13" s="61" t="str">
        <x:v>completed_verified</x:v>
      </x:c>
      <x:c r="I13" s="61" t="str">
        <x:v>All ten DOI/title/abstract records matched; used as an independent abstract cross-check.</x:v>
      </x:c>
    </x:row>
    <x:row r="14">
      <x:c r="B14" s="65"/>
    </x:row>
    <x:row r="15">
      <x:c r="B15" s="65"/>
    </x:row>
    <x:row r="16">
      <x:c r="B16" s="65"/>
    </x:row>
    <x:row r="17">
      <x:c r="B17" s="65"/>
    </x:row>
    <x:row r="18">
      <x:c r="B18" s="65"/>
    </x:row>
    <x:row r="19">
      <x:c r="B19" s="65"/>
    </x:row>
    <x:row r="20">
      <x:c r="B20" s="65"/>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5" hidden="0" customWidth="1"/>
    <x:col min="2" max="2" width="35" hidden="0" customWidth="1"/>
    <x:col min="3" max="3" width="18" hidden="0" customWidth="1"/>
    <x:col min="4" max="4" width="34" hidden="0" customWidth="1"/>
    <x:col min="5" max="5" width="18" hidden="0" customWidth="1"/>
    <x:col min="6" max="6" width="18" hidden="0" customWidth="1"/>
    <x:col min="7" max="7" width="18" hidden="0" customWidth="1"/>
    <x:col min="8" max="8" width="18" hidden="0" customWidth="1"/>
    <x:col min="9" max="9" width="18" hidden="0" customWidth="1"/>
    <x:col min="10" max="10" width="18" hidden="0" customWidth="1"/>
    <x:col min="11" max="11" width="18" hidden="0" customWidth="1"/>
    <x:col min="12" max="12" width="50" hidden="0" customWidth="1"/>
  </x:cols>
  <x:sheetData>
    <x:row r="1" ht="32" customHeight="1">
      <x:c r="A1" s="60" t="str">
        <x:v>﻿title</x:v>
      </x:c>
      <x:c r="B1" s="60" t="str">
        <x:v>authors</x:v>
      </x:c>
      <x:c r="C1" s="60" t="str">
        <x:v>publication_date</x:v>
      </x:c>
      <x:c r="D1" s="60" t="str">
        <x:v>venue</x:v>
      </x:c>
      <x:c r="E1" s="60" t="str">
        <x:v>document_type</x:v>
      </x:c>
      <x:c r="F1" s="60" t="str">
        <x:v>doi</x:v>
      </x:c>
      <x:c r="G1" s="60" t="str">
        <x:v>doi_url</x:v>
      </x:c>
      <x:c r="H1" s="60" t="str">
        <x:v>ieee_xplore_search_url</x:v>
      </x:c>
      <x:c r="I1" s="60" t="str">
        <x:v>date_in_window</x:v>
      </x:c>
      <x:c r="J1" s="60" t="str">
        <x:v>deep_read_selected</x:v>
      </x:c>
      <x:c r="K1" s="60" t="str">
        <x:v>screening_status</x:v>
      </x:c>
      <x:c r="L1" s="60" t="str">
        <x:v>screening_note</x:v>
      </x:c>
    </x:row>
    <x:row r="2">
      <x:c r="A2" s="61" t="str">
        <x:v>Aging and Performance Analysis of 18650 Lithium-Ion Cell Capacity Degradation: Data-Driven Insights and Modeling</x:v>
      </x:c>
      <x:c r="B2" s="61" t="str">
        <x:v>Victor Olivero-Ortiz; Ingrid Oliveros; Carlos Robles-Algarin</x:v>
      </x:c>
      <x:c r="C2" s="61" t="str">
        <x:v>2025</x:v>
      </x:c>
      <x:c r="D2" s="61" t="str">
        <x:v>IEEE Access</x:v>
      </x:c>
      <x:c r="E2" s="61" t="str">
        <x:v>journal-article</x:v>
      </x:c>
      <x:c r="F2" s="61" t="str">
        <x:v>10.1109/access.2025.3636613</x:v>
      </x:c>
      <x:c r="G2" s="61" t="str">
        <x:v>https://doi.org/10.1109/access.2025.3636613</x:v>
      </x:c>
      <x:c r="H2" s="61" t="str">
        <x:v>https://ieeexplore.ieee.org/search/searchresult.jsp?queryText=Aging%20and%20Performance%20Analysis%20of%2018650%20Lithium-Ion%20Cell%20Capacity%20Degradation%3A%20Data-Driven%20Insights%20and%20Modeling</x:v>
      </x:c>
      <x:c r="I2" s="61" t="str">
        <x:v>True</x:v>
      </x:c>
      <x:c r="J2" s="61" t="str">
        <x:v>True</x:v>
      </x:c>
      <x:c r="K2" s="61" t="str">
        <x:v>deep_read</x:v>
      </x:c>
      <x:c r="L2" s="61" t="str">
        <x:v>Added by exact DOI lookup after omission from the broad top-100 query.</x:v>
      </x:c>
    </x:row>
    <x:row r="3">
      <x:c r="A3" s="61" t="str">
        <x:v>State of Health Estimation of Lithium-Ion Batteries Using Data Augmentation and Feature Mapping</x:v>
      </x:c>
      <x:c r="B3" s="61" t="str">
        <x:v>Wei Yao; Rucong Lai; Yong Tian; Xiaoyu Li; Jindong Tian</x:v>
      </x:c>
      <x:c r="C3" s="61" t="str">
        <x:v>2025-02</x:v>
      </x:c>
      <x:c r="D3" s="61" t="str">
        <x:v>IEEE Transactions on Transportation Electrification</x:v>
      </x:c>
      <x:c r="E3" s="61" t="str">
        <x:v>journal-article</x:v>
      </x:c>
      <x:c r="F3" s="61" t="str">
        <x:v>10.1109/tte.2024.3471867</x:v>
      </x:c>
      <x:c r="G3" s="61" t="str">
        <x:v>https://doi.org/10.1109/tte.2024.3471867</x:v>
      </x:c>
      <x:c r="H3" s="61" t="str">
        <x:v>https://ieeexplore.ieee.org/search/searchresult.jsp?queryText=State%20of%20Health%20Estimation%20of%20Lithium-Ion%20Batteries%20Using%20Data%20Augmentation%20and%20Feature%20Mapping</x:v>
      </x:c>
      <x:c r="I3" s="61" t="str">
        <x:v>True</x:v>
      </x:c>
      <x:c r="J3" s="61" t="str">
        <x:v>True</x:v>
      </x:c>
      <x:c r="K3" s="61" t="str">
        <x:v>deep_read</x:v>
      </x:c>
      <x:c r="L3" s="61" t="str">
        <x:v>Added by exact DOI lookup after omission from the broad top-100 query.</x:v>
      </x:c>
    </x:row>
    <x:row r="4">
      <x:c r="A4" s="61" t="str">
        <x:v>Transfer Learning-Based Lithium-Ion Battery State of Health Estimation With Electrochemical Impedance Spectroscopy</x:v>
      </x:c>
      <x:c r="B4" s="61" t="str">
        <x:v>Mingqiang Lin; Dingcai Hu; Jinhao Meng; Ji Wu</x:v>
      </x:c>
      <x:c r="C4" s="61" t="str">
        <x:v>2025-06</x:v>
      </x:c>
      <x:c r="D4" s="61" t="str">
        <x:v>IEEE Transactions on Transportation Electrification</x:v>
      </x:c>
      <x:c r="E4" s="61" t="str">
        <x:v>journal-article</x:v>
      </x:c>
      <x:c r="F4" s="61" t="str">
        <x:v>10.1109/tte.2025.3533540</x:v>
      </x:c>
      <x:c r="G4" s="61" t="str">
        <x:v>https://doi.org/10.1109/tte.2025.3533540</x:v>
      </x:c>
      <x:c r="H4" s="61" t="str">
        <x:v>https://ieeexplore.ieee.org/search/searchresult.jsp?queryText=Transfer%20Learning-Based%20Lithium-Ion%20Battery%20State%20of%20Health%20Estimation%20With%20Electrochemical%20Impedance%20Spectroscopy</x:v>
      </x:c>
      <x:c r="I4" s="61" t="str">
        <x:v>True</x:v>
      </x:c>
      <x:c r="J4" s="61" t="str">
        <x:v>True</x:v>
      </x:c>
      <x:c r="K4" s="61" t="str">
        <x:v>deep_read</x:v>
      </x:c>
      <x:c r="L4" s="61" t="str">
        <x:v>Selected for abstract-level deep reading.</x:v>
      </x:c>
    </x:row>
    <x:row r="5">
      <x:c r="A5" s="61" t="str">
        <x:v>Battery Time-Series Data Augmentation Using a GAF-Based Generative Framework</x:v>
      </x:c>
      <x:c r="B5" s="61" t="str">
        <x:v>Opy Das; Xin Sui; Filippo Sanfilippo; Souman Rudra</x:v>
      </x:c>
      <x:c r="C5" s="61" t="str">
        <x:v>2025-06-04</x:v>
      </x:c>
      <x:c r="D5" s="61" t="str">
        <x:v>IEEE EUROCON 2025 - 21st International Conference on Smart Technologies</x:v>
      </x:c>
      <x:c r="E5" s="61" t="str">
        <x:v>proceedings-article</x:v>
      </x:c>
      <x:c r="F5" s="61" t="str">
        <x:v>10.1109/eurocon64445.2025.11073369</x:v>
      </x:c>
      <x:c r="G5" s="61" t="str">
        <x:v>https://doi.org/10.1109/eurocon64445.2025.11073369</x:v>
      </x:c>
      <x:c r="H5" s="61" t="str">
        <x:v>https://ieeexplore.ieee.org/search/searchresult.jsp?queryText=Battery%20Time-Series%20Data%20Augmentation%20Using%20a%20GAF-Based%20Generative%20Framework</x:v>
      </x:c>
      <x:c r="I5" s="61" t="str">
        <x:v>True</x:v>
      </x:c>
      <x:c r="J5" s="61" t="str">
        <x:v>True</x:v>
      </x:c>
      <x:c r="K5" s="61" t="str">
        <x:v>deep_read</x:v>
      </x:c>
      <x:c r="L5" s="61" t="str">
        <x:v>Added by exact DOI lookup after omission from the broad top-100 query.</x:v>
      </x:c>
    </x:row>
    <x:row r="6">
      <x:c r="A6" s="61" t="str">
        <x:v>Multisource Domain Metalearning Network for Battery State-of-Health Estimation Under Multitarget Working Conditions</x:v>
      </x:c>
      <x:c r="B6" s="61" t="str">
        <x:v>Mengqi Miao; Chaoang Xiao; Jianbo Yu</x:v>
      </x:c>
      <x:c r="C6" s="61" t="str">
        <x:v>2025-07</x:v>
      </x:c>
      <x:c r="D6" s="61" t="str">
        <x:v>IEEE Transactions on Power Electronics</x:v>
      </x:c>
      <x:c r="E6" s="61" t="str">
        <x:v>journal-article</x:v>
      </x:c>
      <x:c r="F6" s="61" t="str">
        <x:v>10.1109/tpel.2025.3538469</x:v>
      </x:c>
      <x:c r="G6" s="61" t="str">
        <x:v>https://doi.org/10.1109/tpel.2025.3538469</x:v>
      </x:c>
      <x:c r="H6" s="61" t="str">
        <x:v>https://ieeexplore.ieee.org/search/searchresult.jsp?queryText=Multisource%20Domain%20Metalearning%20Network%20for%20Battery%20State-of-Health%20Estimation%20Under%20Multitarget%20Working%20Conditions</x:v>
      </x:c>
      <x:c r="I6" s="61" t="str">
        <x:v>True</x:v>
      </x:c>
      <x:c r="J6" s="61" t="str">
        <x:v>True</x:v>
      </x:c>
      <x:c r="K6" s="61" t="str">
        <x:v>deep_read</x:v>
      </x:c>
      <x:c r="L6" s="61" t="str">
        <x:v>Selected for abstract-level deep reading.</x:v>
      </x:c>
    </x:row>
    <x:row r="7">
      <x:c r="A7" s="61" t="str">
        <x:v>An Innovative Magnetic Field Sensor based Method Predicting Lithium-ion Battery State-of-health</x:v>
      </x:c>
      <x:c r="B7" s="61" t="str">
        <x:v>Ze Hui; Mohamed Mamlouk; Jie Zhang; Deepayan Bhowmik</x:v>
      </x:c>
      <x:c r="C7" s="61" t="str">
        <x:v>2025-07-08</x:v>
      </x:c>
      <x:c r="D7" s="61" t="str">
        <x:v>2025 IEEE Sensors Applications Symposium (SAS)</x:v>
      </x:c>
      <x:c r="E7" s="61" t="str">
        <x:v>proceedings-article</x:v>
      </x:c>
      <x:c r="F7" s="61" t="str">
        <x:v>10.1109/sas65169.2025.11105130</x:v>
      </x:c>
      <x:c r="G7" s="61" t="str">
        <x:v>https://doi.org/10.1109/sas65169.2025.11105130</x:v>
      </x:c>
      <x:c r="H7" s="61" t="str">
        <x:v>https://ieeexplore.ieee.org/search/searchresult.jsp?queryText=An%20Innovative%20Magnetic%20Field%20Sensor%20based%20Method%20Predicting%20Lithium-ion%20Battery%20State-of-health</x:v>
      </x:c>
      <x:c r="I7" s="61" t="str">
        <x:v>True</x:v>
      </x:c>
      <x:c r="J7" s="61" t="str">
        <x:v>True</x:v>
      </x:c>
      <x:c r="K7" s="61" t="str">
        <x:v>deep_read</x:v>
      </x:c>
      <x:c r="L7" s="61" t="str">
        <x:v>Selected for abstract-level deep reading.</x:v>
      </x:c>
    </x:row>
    <x:row r="8">
      <x:c r="A8" s="61" t="str">
        <x:v>State of Health Estimation for Lithium-Ion Battery With Label-Free Data Based on Deep Domain Feature Independent Alignment Network</x:v>
      </x:c>
      <x:c r="B8" s="61" t="str">
        <x:v>Chenxi Song; Haitao Yuan; Guangfeng Wang; Naxin Cui</x:v>
      </x:c>
      <x:c r="C8" s="61" t="str">
        <x:v>2025-10</x:v>
      </x:c>
      <x:c r="D8" s="61" t="str">
        <x:v>IEEE Transactions on Power Electronics</x:v>
      </x:c>
      <x:c r="E8" s="61" t="str">
        <x:v>journal-article</x:v>
      </x:c>
      <x:c r="F8" s="61" t="str">
        <x:v>10.1109/tpel.2025.3580291</x:v>
      </x:c>
      <x:c r="G8" s="61" t="str">
        <x:v>https://doi.org/10.1109/tpel.2025.3580291</x:v>
      </x:c>
      <x:c r="H8" s="61" t="str">
        <x:v>https://ieeexplore.ieee.org/search/searchresult.jsp?queryText=State%20of%20Health%20Estimation%20for%20Lithium-Ion%20Battery%20With%20Label-Free%20Data%20Based%20on%20Deep%20Domain%20Feature%20Independent%20Alignment%20Network</x:v>
      </x:c>
      <x:c r="I8" s="61" t="str">
        <x:v>True</x:v>
      </x:c>
      <x:c r="J8" s="61" t="str">
        <x:v>True</x:v>
      </x:c>
      <x:c r="K8" s="61" t="str">
        <x:v>deep_read</x:v>
      </x:c>
      <x:c r="L8" s="61" t="str">
        <x:v>Added by exact DOI lookup after omission from the broad top-100 query.</x:v>
      </x:c>
    </x:row>
    <x:row r="9">
      <x:c r="A9" s="61" t="str">
        <x:v>Explainable MFDWA-GRU Model for Battery State of Health Estimation</x:v>
      </x:c>
      <x:c r="B9" s="61" t="str">
        <x:v>Anantha Padmanabhan; Shubham Vijay Mate; Rajeev Kumar Singh; Sanjay Kumar Singh</x:v>
      </x:c>
      <x:c r="C9" s="61" t="str">
        <x:v>2026-01</x:v>
      </x:c>
      <x:c r="D9" s="61" t="str">
        <x:v>IEEE Journal of Emerging and Selected Topics in Industrial Electronics</x:v>
      </x:c>
      <x:c r="E9" s="61" t="str">
        <x:v>journal-article</x:v>
      </x:c>
      <x:c r="F9" s="61" t="str">
        <x:v>10.1109/jestie.2025.3618621</x:v>
      </x:c>
      <x:c r="G9" s="61" t="str">
        <x:v>https://doi.org/10.1109/jestie.2025.3618621</x:v>
      </x:c>
      <x:c r="H9" s="61" t="str">
        <x:v>https://ieeexplore.ieee.org/search/searchresult.jsp?queryText=Explainable%20MFDWA-GRU%20Model%20for%20Battery%20State%20of%20Health%20Estimation</x:v>
      </x:c>
      <x:c r="I9" s="61" t="str">
        <x:v>True</x:v>
      </x:c>
      <x:c r="J9" s="61" t="str">
        <x:v>True</x:v>
      </x:c>
      <x:c r="K9" s="61" t="str">
        <x:v>deep_read</x:v>
      </x:c>
      <x:c r="L9" s="61" t="str">
        <x:v>Selected for abstract-level deep reading.</x:v>
      </x:c>
    </x:row>
    <x:row r="10">
      <x:c r="A10" s="61" t="str">
        <x:v>Battery State of Health Estimation via Federated Learning on Diverse Data from Multiple Sources</x:v>
      </x:c>
      <x:c r="B10" s="61" t="str">
        <x:v>Vesna Dimitrievska; Andrea Urgolo; Manuel Freiberger; Katrin Unger</x:v>
      </x:c>
      <x:c r="C10" s="61" t="str">
        <x:v>2026-06</x:v>
      </x:c>
      <x:c r="D10" s="61" t="str">
        <x:v>2026 2nd International Conference on Federated Learning and Intelligent Computing Systems (FLICS)</x:v>
      </x:c>
      <x:c r="E10" s="61" t="str">
        <x:v>proceedings-article</x:v>
      </x:c>
      <x:c r="F10" s="61" t="str">
        <x:v>10.1109/flics70075.2026.11621953</x:v>
      </x:c>
      <x:c r="G10" s="61" t="str">
        <x:v>https://doi.org/10.1109/flics70075.2026.11621953</x:v>
      </x:c>
      <x:c r="H10" s="61" t="str">
        <x:v>https://ieeexplore.ieee.org/search/searchresult.jsp?queryText=Battery%20State%20of%20Health%20Estimation%20via%20Federated%20Learning%20on%20Diverse%20Data%20from%20Multiple%20Sources</x:v>
      </x:c>
      <x:c r="I10" s="61" t="str">
        <x:v>True</x:v>
      </x:c>
      <x:c r="J10" s="61" t="str">
        <x:v>True</x:v>
      </x:c>
      <x:c r="K10" s="61" t="str">
        <x:v>deep_read</x:v>
      </x:c>
      <x:c r="L10" s="61" t="str">
        <x:v>Selected for abstract-level deep reading.</x:v>
      </x:c>
    </x:row>
    <x:row r="11">
      <x:c r="A11" s="61" t="str">
        <x:v>Physics-Informed Deep Gated Recurrent Unit Network for Lithium-Ion Battery State of Health Estimation Under Field Conditions</x:v>
      </x:c>
      <x:c r="B11" s="61" t="str">
        <x:v>Laijin Luo; Yu Wang; Yang Li; Qiushi Cui</x:v>
      </x:c>
      <x:c r="C11" s="61" t="str">
        <x:v>2026-08</x:v>
      </x:c>
      <x:c r="D11" s="61" t="str">
        <x:v>IEEE Transactions on Transportation Electrification</x:v>
      </x:c>
      <x:c r="E11" s="61" t="str">
        <x:v>journal-article</x:v>
      </x:c>
      <x:c r="F11" s="61" t="str">
        <x:v>10.1109/tte.2026.3686077</x:v>
      </x:c>
      <x:c r="G11" s="61" t="str">
        <x:v>https://doi.org/10.1109/tte.2026.3686077</x:v>
      </x:c>
      <x:c r="H11" s="61" t="str">
        <x:v>https://ieeexplore.ieee.org/search/searchresult.jsp?queryText=Physics-Informed%20Deep%20Gated%20Recurrent%20Unit%20Network%20for%20Lithium-Ion%20Battery%20State%20of%20Health%20Estimation%20Under%20Field%20Conditions</x:v>
      </x:c>
      <x:c r="I11" s="61" t="str">
        <x:v>True</x:v>
      </x:c>
      <x:c r="J11" s="61" t="str">
        <x:v>True</x:v>
      </x:c>
      <x:c r="K11" s="61" t="str">
        <x:v>deep_read</x:v>
      </x:c>
      <x:c r="L11" s="61" t="str">
        <x:v>Added by exact DOI lookup after omission from the broad top-100 query.</x:v>
      </x:c>
    </x:row>
    <x:row r="12">
      <x:c r="A12" s="61" t="str">
        <x:v>The Estimation Method for Lithium Battery State of Health Based on BES-GPR</x:v>
      </x:c>
      <x:c r="B12" s="61" t="str">
        <x:v>Ming Xu; Chao Jia; Fan Ping; XiaoDong Miao</x:v>
      </x:c>
      <x:c r="C12" s="61" t="str">
        <x:v>2024-08-18</x:v>
      </x:c>
      <x:c r="D12" s="61" t="str">
        <x:v>2024 IEEE 22nd International Conference on Industrial Informatics (INDIN)</x:v>
      </x:c>
      <x:c r="E12" s="61" t="str">
        <x:v>proceedings-article</x:v>
      </x:c>
      <x:c r="F12" s="61" t="str">
        <x:v>10.1109/indin58382.2024.10774420</x:v>
      </x:c>
      <x:c r="G12" s="61" t="str">
        <x:v>https://doi.org/10.1109/indin58382.2024.10774420</x:v>
      </x:c>
      <x:c r="H12" s="61" t="str">
        <x:v>https://ieeexplore.ieee.org/search/searchresult.jsp?queryText=The%20Estimation%20Method%20for%20Lithium%20Battery%20State%20of%20Health%20Based%20on%20BES-GPR</x:v>
      </x:c>
      <x:c r="I12" s="61" t="str">
        <x:v>True</x:v>
      </x:c>
      <x:c r="J12" s="61" t="str">
        <x:v>False</x:v>
      </x:c>
      <x:c r="K12" s="61" t="str">
        <x:v>title_abstract_candidate</x:v>
      </x:c>
      <x:c r="L12" s="61" t="str">
        <x:v>Crossref IEEE member record; detailed relevance not yet assessed.</x:v>
      </x:c>
    </x:row>
    <x:row r="13">
      <x:c r="A13" s="61" t="str">
        <x:v>Li-Ion Battery Second-Life State of Health (SoH) Estimation with Polynomial Chaos</x:v>
      </x:c>
      <x:c r="B13" s="61" t="str">
        <x:v>Pham Luu Trung Duong; Nagarajan Raghavan</x:v>
      </x:c>
      <x:c r="C13" s="61" t="str">
        <x:v>2024-10-11</x:v>
      </x:c>
      <x:c r="D13" s="61" t="str">
        <x:v>2024 Global Reliability and Prognostics and Health Management Conference (PHM-Beijing)</x:v>
      </x:c>
      <x:c r="E13" s="61" t="str">
        <x:v>proceedings-article</x:v>
      </x:c>
      <x:c r="F13" s="61" t="str">
        <x:v>10.1109/phm-beijing63284.2024.10874616</x:v>
      </x:c>
      <x:c r="G13" s="61" t="str">
        <x:v>https://doi.org/10.1109/phm-beijing63284.2024.10874616</x:v>
      </x:c>
      <x:c r="H13" s="61" t="str">
        <x:v>https://ieeexplore.ieee.org/search/searchresult.jsp?queryText=Li-Ion%20Battery%20Second-Life%20State%20of%20Health%20%28SoH%29%20Estimation%20with%20Polynomial%20Chaos</x:v>
      </x:c>
      <x:c r="I13" s="61" t="str">
        <x:v>True</x:v>
      </x:c>
      <x:c r="J13" s="61" t="str">
        <x:v>False</x:v>
      </x:c>
      <x:c r="K13" s="61" t="str">
        <x:v>title_abstract_candidate</x:v>
      </x:c>
      <x:c r="L13" s="61" t="str">
        <x:v>Crossref IEEE member record; detailed relevance not yet assessed.</x:v>
      </x:c>
    </x:row>
    <x:row r="14">
      <x:c r="A14" s="61" t="str">
        <x:v>State of Health Prediction for Battery Energy Storage Systems under Random Walk Operations</x:v>
      </x:c>
      <x:c r="B14" s="61" t="str">
        <x:v>Alaa Selim; Huadong Mo; Hemanshu Pota; Di Wu; Daoyi Dong</x:v>
      </x:c>
      <x:c r="C14" s="61" t="str">
        <x:v>2024-10-11</x:v>
      </x:c>
      <x:c r="D14" s="61" t="str">
        <x:v>2024 6th International Conference on System Reliability and Safety Engineering (SRSE)</x:v>
      </x:c>
      <x:c r="E14" s="61" t="str">
        <x:v>proceedings-article</x:v>
      </x:c>
      <x:c r="F14" s="61" t="str">
        <x:v>10.1109/srse63568.2024.10772496</x:v>
      </x:c>
      <x:c r="G14" s="61" t="str">
        <x:v>https://doi.org/10.1109/srse63568.2024.10772496</x:v>
      </x:c>
      <x:c r="H14" s="61" t="str">
        <x:v>https://ieeexplore.ieee.org/search/searchresult.jsp?queryText=State%20of%20Health%20Prediction%20for%20Battery%20Energy%20Storage%20Systems%20under%20Random%20Walk%20Operations</x:v>
      </x:c>
      <x:c r="I14" s="61" t="str">
        <x:v>True</x:v>
      </x:c>
      <x:c r="J14" s="61" t="str">
        <x:v>False</x:v>
      </x:c>
      <x:c r="K14" s="61" t="str">
        <x:v>title_abstract_candidate</x:v>
      </x:c>
      <x:c r="L14" s="61" t="str">
        <x:v>Crossref IEEE member record; detailed relevance not yet assessed.</x:v>
      </x:c>
    </x:row>
    <x:row r="15">
      <x:c r="A15" s="61" t="str">
        <x:v>Battery State of Health Estimation for Real-world Vehicles Based on Ensemble Learning</x:v>
      </x:c>
      <x:c r="B15" s="61" t="str">
        <x:v>Haoyu Wang; Hongwen He; Pei Wang; Yiteng Geng; Xuncheng Guo</x:v>
      </x:c>
      <x:c r="C15" s="61" t="str">
        <x:v>2024-10-25</x:v>
      </x:c>
      <x:c r="D15" s="61" t="str">
        <x:v>2024 IEEE PES 16th Asia-Pacific Power and Energy Engineering Conference (APPEEC)</x:v>
      </x:c>
      <x:c r="E15" s="61" t="str">
        <x:v>proceedings-article</x:v>
      </x:c>
      <x:c r="F15" s="61" t="str">
        <x:v>10.1109/appeec61255.2024.10922303</x:v>
      </x:c>
      <x:c r="G15" s="61" t="str">
        <x:v>https://doi.org/10.1109/appeec61255.2024.10922303</x:v>
      </x:c>
      <x:c r="H15" s="61" t="str">
        <x:v>https://ieeexplore.ieee.org/search/searchresult.jsp?queryText=Battery%20State%20of%20Health%20Estimation%20for%20Real-world%20Vehicles%20Based%20on%20Ensemble%20Learning</x:v>
      </x:c>
      <x:c r="I15" s="61" t="str">
        <x:v>True</x:v>
      </x:c>
      <x:c r="J15" s="61" t="str">
        <x:v>False</x:v>
      </x:c>
      <x:c r="K15" s="61" t="str">
        <x:v>title_abstract_candidate</x:v>
      </x:c>
      <x:c r="L15" s="61" t="str">
        <x:v>Crossref IEEE member record; detailed relevance not yet assessed.</x:v>
      </x:c>
    </x:row>
    <x:row r="16">
      <x:c r="A16" s="61" t="str">
        <x:v>Lithium-Ion Battery State-of-Charge and State-of-Health Co-Estimation with Feasible Real-Time Implementation</x:v>
      </x:c>
      <x:c r="B16" s="61" t="str">
        <x:v>Mingding Shao; Jian Chen; Ke Xu; Yong Wang</x:v>
      </x:c>
      <x:c r="C16" s="61" t="str">
        <x:v>2024-10-25</x:v>
      </x:c>
      <x:c r="D16" s="61" t="str">
        <x:v>2024 8th CAA International Conference on Vehicular Control and Intelligence (CVCI)</x:v>
      </x:c>
      <x:c r="E16" s="61" t="str">
        <x:v>proceedings-article</x:v>
      </x:c>
      <x:c r="F16" s="61" t="str">
        <x:v>10.1109/cvci63518.2024.10830026</x:v>
      </x:c>
      <x:c r="G16" s="61" t="str">
        <x:v>https://doi.org/10.1109/cvci63518.2024.10830026</x:v>
      </x:c>
      <x:c r="H16" s="61" t="str">
        <x:v>https://ieeexplore.ieee.org/search/searchresult.jsp?queryText=Lithium-Ion%20Battery%20State-of-Charge%20and%20State-of-Health%20Co-Estimation%20with%20Feasible%20Real-Time%20Implementation</x:v>
      </x:c>
      <x:c r="I16" s="61" t="str">
        <x:v>True</x:v>
      </x:c>
      <x:c r="J16" s="61" t="str">
        <x:v>False</x:v>
      </x:c>
      <x:c r="K16" s="61" t="str">
        <x:v>title_abstract_candidate</x:v>
      </x:c>
      <x:c r="L16" s="61" t="str">
        <x:v>Crossref IEEE member record; detailed relevance not yet assessed.</x:v>
      </x:c>
    </x:row>
    <x:row r="17">
      <x:c r="A17" s="61" t="str">
        <x:v>Lithium-ion Battery Health State Prediction based on Adaptive Fine-tuning Learning Approach</x:v>
      </x:c>
      <x:c r="B17" s="61" t="str">
        <x:v>Lei Yao; Changsheng Zhao; Guangzhen Cui; Huilin Dai; Yongpeng Shen</x:v>
      </x:c>
      <x:c r="C17" s="61" t="str">
        <x:v>2024-10-25</x:v>
      </x:c>
      <x:c r="D17" s="61" t="str">
        <x:v>2024 8th CAA International Conference on Vehicular Control and Intelligence (CVCI)</x:v>
      </x:c>
      <x:c r="E17" s="61" t="str">
        <x:v>proceedings-article</x:v>
      </x:c>
      <x:c r="F17" s="61" t="str">
        <x:v>10.1109/cvci63518.2024.10830275</x:v>
      </x:c>
      <x:c r="G17" s="61" t="str">
        <x:v>https://doi.org/10.1109/cvci63518.2024.10830275</x:v>
      </x:c>
      <x:c r="H17" s="61" t="str">
        <x:v>https://ieeexplore.ieee.org/search/searchresult.jsp?queryText=Lithium-ion%20Battery%20Health%20State%20Prediction%20based%20on%20Adaptive%20Fine-tuning%20Learning%20Approach</x:v>
      </x:c>
      <x:c r="I17" s="61" t="str">
        <x:v>True</x:v>
      </x:c>
      <x:c r="J17" s="61" t="str">
        <x:v>False</x:v>
      </x:c>
      <x:c r="K17" s="61" t="str">
        <x:v>title_abstract_candidate</x:v>
      </x:c>
      <x:c r="L17" s="61" t="str">
        <x:v>Crossref IEEE member record; detailed relevance not yet assessed.</x:v>
      </x:c>
    </x:row>
    <x:row r="18">
      <x:c r="A18" s="61" t="str">
        <x:v>Battery State of Health Prediction with Gated Recurrent Neural Networks: A Data-Driven Approach for Battery Management Systems</x:v>
      </x:c>
      <x:c r="B18" s="61" t="str">
        <x:v>Christos Iraklis; Ahmed Hesham Balawi; Sarika Vaibhav Patil; Thomas Altmann</x:v>
      </x:c>
      <x:c r="C18" s="61" t="str">
        <x:v>2024-10-30</x:v>
      </x:c>
      <x:c r="D18" s="61" t="str">
        <x:v>2024 International Conference on Electrical, Communication and Computer Engineering (ICECCE)</x:v>
      </x:c>
      <x:c r="E18" s="61" t="str">
        <x:v>proceedings-article</x:v>
      </x:c>
      <x:c r="F18" s="61" t="str">
        <x:v>10.1109/icecce63537.2024.10823552</x:v>
      </x:c>
      <x:c r="G18" s="61" t="str">
        <x:v>https://doi.org/10.1109/icecce63537.2024.10823552</x:v>
      </x:c>
      <x:c r="H18" s="61" t="str">
        <x:v>https://ieeexplore.ieee.org/search/searchresult.jsp?queryText=Battery%20State%20of%20Health%20Prediction%20with%20Gated%20Recurrent%20Neural%20Networks%3A%20A%20Data-Driven%20Approach%20for%20Battery%20Management%20Systems</x:v>
      </x:c>
      <x:c r="I18" s="61" t="str">
        <x:v>True</x:v>
      </x:c>
      <x:c r="J18" s="61" t="str">
        <x:v>False</x:v>
      </x:c>
      <x:c r="K18" s="61" t="str">
        <x:v>title_abstract_candidate</x:v>
      </x:c>
      <x:c r="L18" s="61" t="str">
        <x:v>Crossref IEEE member record; detailed relevance not yet assessed.</x:v>
      </x:c>
    </x:row>
    <x:row r="19">
      <x:c r="A19" s="61" t="str">
        <x:v>State of Health Estimation for Lithium Battery via Indirect Health Factor with Gaussian Process Regression</x:v>
      </x:c>
      <x:c r="B19" s="61" t="str">
        <x:v>Pinzheng Tan; Hailin Feng</x:v>
      </x:c>
      <x:c r="C19" s="61" t="str">
        <x:v>2024-11-01</x:v>
      </x:c>
      <x:c r="D19" s="61" t="str">
        <x:v>2024 8th International Workshop on Control Engineering and Advanced Algorithms (IWCEAA)</x:v>
      </x:c>
      <x:c r="E19" s="61" t="str">
        <x:v>proceedings-article</x:v>
      </x:c>
      <x:c r="F19" s="61" t="str">
        <x:v>10.1109/iwceaa63616.2024.10823700</x:v>
      </x:c>
      <x:c r="G19" s="61" t="str">
        <x:v>https://doi.org/10.1109/iwceaa63616.2024.10823700</x:v>
      </x:c>
      <x:c r="H19" s="61" t="str">
        <x:v>https://ieeexplore.ieee.org/search/searchresult.jsp?queryText=State%20of%20Health%20Estimation%20for%20Lithium%20Battery%20via%20Indirect%20Health%20Factor%20with%20Gaussian%20Process%20Regression</x:v>
      </x:c>
      <x:c r="I19" s="61" t="str">
        <x:v>True</x:v>
      </x:c>
      <x:c r="J19" s="61" t="str">
        <x:v>False</x:v>
      </x:c>
      <x:c r="K19" s="61" t="str">
        <x:v>title_abstract_candidate</x:v>
      </x:c>
      <x:c r="L19" s="61" t="str">
        <x:v>Crossref IEEE member record; detailed relevance not yet assessed.</x:v>
      </x:c>
    </x:row>
    <x:row r="20">
      <x:c r="A20" s="61" t="str">
        <x:v>CVR Method: Comprehensive Evaluation of Li-ion Battery State of Health with Residual LSTM</x:v>
      </x:c>
      <x:c r="B20" s="61" t="str">
        <x:v>Keyi He; Xilin Dai; Dingyi Feng; Fanfan Lin; Hao Ma</x:v>
      </x:c>
      <x:c r="C20" s="61" t="str">
        <x:v>2024-11-08</x:v>
      </x:c>
      <x:c r="D20" s="61" t="str">
        <x:v>2024 CPSS &amp;amp;amp; IEEE International Symposium on Energy Storage and Conversion (ISESC)</x:v>
      </x:c>
      <x:c r="E20" s="61" t="str">
        <x:v>proceedings-article</x:v>
      </x:c>
      <x:c r="F20" s="61" t="str">
        <x:v>10.1109/isesc63657.2024.10785452</x:v>
      </x:c>
      <x:c r="G20" s="61" t="str">
        <x:v>https://doi.org/10.1109/isesc63657.2024.10785452</x:v>
      </x:c>
      <x:c r="H20" s="61" t="str">
        <x:v>https://ieeexplore.ieee.org/search/searchresult.jsp?queryText=CVR%20Method%3A%20Comprehensive%20Evaluation%20of%20Li-ion%20Battery%20State%20of%20Health%20with%20Residual%20LSTM</x:v>
      </x:c>
      <x:c r="I20" s="61" t="str">
        <x:v>True</x:v>
      </x:c>
      <x:c r="J20" s="61" t="str">
        <x:v>False</x:v>
      </x:c>
      <x:c r="K20" s="61" t="str">
        <x:v>title_abstract_candidate</x:v>
      </x:c>
      <x:c r="L20" s="61" t="str">
        <x:v>Crossref IEEE member record; detailed relevance not yet assessed.</x:v>
      </x:c>
    </x:row>
    <x:row r="21">
      <x:c r="A21" s="61" t="str">
        <x:v>Online State-of-Health Estimation for Electric Vehicle Battery Based on Deep Transfer Learning</x:v>
      </x:c>
      <x:c r="B21" s="61" t="str">
        <x:v>Zongshuo Zhang; Lianfang Tian; Zhengzheng Sun; Hongqiang Mo</x:v>
      </x:c>
      <x:c r="C21" s="61" t="str">
        <x:v>2024-11-08</x:v>
      </x:c>
      <x:c r="D21" s="61" t="str">
        <x:v>2024 4th International Conference on New Energy and Power Engineering (ICNEPE)</x:v>
      </x:c>
      <x:c r="E21" s="61" t="str">
        <x:v>proceedings-article</x:v>
      </x:c>
      <x:c r="F21" s="61" t="str">
        <x:v>10.1109/icnepe64067.2024.10860449</x:v>
      </x:c>
      <x:c r="G21" s="61" t="str">
        <x:v>https://doi.org/10.1109/icnepe64067.2024.10860449</x:v>
      </x:c>
      <x:c r="H21" s="61" t="str">
        <x:v>https://ieeexplore.ieee.org/search/searchresult.jsp?queryText=Online%20State-of-Health%20Estimation%20for%20Electric%20Vehicle%20Battery%20Based%20on%20Deep%20Transfer%20Learning</x:v>
      </x:c>
      <x:c r="I21" s="61" t="str">
        <x:v>True</x:v>
      </x:c>
      <x:c r="J21" s="61" t="str">
        <x:v>False</x:v>
      </x:c>
      <x:c r="K21" s="61" t="str">
        <x:v>title_abstract_candidate</x:v>
      </x:c>
      <x:c r="L21" s="61" t="str">
        <x:v>Crossref IEEE member record; detailed relevance not yet assessed.</x:v>
      </x:c>
    </x:row>
    <x:row r="22">
      <x:c r="A22" s="61" t="str">
        <x:v>Data-Driven State of Health Estimation of Lithium-ion Battery Cells Using Machine Learning</x:v>
      </x:c>
      <x:c r="B22" s="61" t="str">
        <x:v>Marsha Clarabell; Jangkung Raharjo; Bandiyah Sri Aprillia</x:v>
      </x:c>
      <x:c r="C22" s="61" t="str">
        <x:v>2024-11-20</x:v>
      </x:c>
      <x:c r="D22" s="61" t="str">
        <x:v>2024 7th International Conference on Information and Communications Technology (ICOIACT)</x:v>
      </x:c>
      <x:c r="E22" s="61" t="str">
        <x:v>proceedings-article</x:v>
      </x:c>
      <x:c r="F22" s="61" t="str">
        <x:v>10.1109/icoiact64819.2024.10913000</x:v>
      </x:c>
      <x:c r="G22" s="61" t="str">
        <x:v>https://doi.org/10.1109/icoiact64819.2024.10913000</x:v>
      </x:c>
      <x:c r="H22" s="61" t="str">
        <x:v>https://ieeexplore.ieee.org/search/searchresult.jsp?queryText=Data-Driven%20State%20of%20Health%20Estimation%20of%20Lithium-ion%20Battery%20Cells%20Using%20Machine%20Learning</x:v>
      </x:c>
      <x:c r="I22" s="61" t="str">
        <x:v>True</x:v>
      </x:c>
      <x:c r="J22" s="61" t="str">
        <x:v>False</x:v>
      </x:c>
      <x:c r="K22" s="61" t="str">
        <x:v>title_abstract_candidate</x:v>
      </x:c>
      <x:c r="L22" s="61" t="str">
        <x:v>Crossref IEEE member record; detailed relevance not yet assessed.</x:v>
      </x:c>
    </x:row>
    <x:row r="23">
      <x:c r="A23" s="61" t="str">
        <x:v>Uncertainty Analysis for Battery Health State Based on Bat Algorithm</x:v>
      </x:c>
      <x:c r="B23" s="61" t="str">
        <x:v>Xueqian Wu; Xiangbin Li; Xintian Liu; Bixiong Huang</x:v>
      </x:c>
      <x:c r="C23" s="61" t="str">
        <x:v>2024-11-20</x:v>
      </x:c>
      <x:c r="D23" s="61" t="str">
        <x:v>2024 8th International Conference on System Reliability and Safety (ICSRS)</x:v>
      </x:c>
      <x:c r="E23" s="61" t="str">
        <x:v>proceedings-article</x:v>
      </x:c>
      <x:c r="F23" s="61" t="str">
        <x:v>10.1109/icsrs63046.2024.10927495</x:v>
      </x:c>
      <x:c r="G23" s="61" t="str">
        <x:v>https://doi.org/10.1109/icsrs63046.2024.10927495</x:v>
      </x:c>
      <x:c r="H23" s="61" t="str">
        <x:v>https://ieeexplore.ieee.org/search/searchresult.jsp?queryText=Uncertainty%20Analysis%20for%20Battery%20Health%20State%20Based%20on%20Bat%20Algorithm</x:v>
      </x:c>
      <x:c r="I23" s="61" t="str">
        <x:v>True</x:v>
      </x:c>
      <x:c r="J23" s="61" t="str">
        <x:v>False</x:v>
      </x:c>
      <x:c r="K23" s="61" t="str">
        <x:v>title_abstract_candidate</x:v>
      </x:c>
      <x:c r="L23" s="61" t="str">
        <x:v>Crossref IEEE member record; detailed relevance not yet assessed.</x:v>
      </x:c>
    </x:row>
    <x:row r="24">
      <x:c r="A24" s="61" t="str">
        <x:v>Battery State of Health Prognostic based on Neural Hierarchical Interpolation</x:v>
      </x:c>
      <x:c r="B24" s="61" t="str">
        <x:v>Rakesh Kumar; B. Shakila; M. Prakash</x:v>
      </x:c>
      <x:c r="C24" s="61" t="str">
        <x:v>2024-11-21</x:v>
      </x:c>
      <x:c r="D24" s="61" t="str">
        <x:v>2024 2nd International Conference on Advancements and Key Challenges in Green Energy and Computing (AKGEC)</x:v>
      </x:c>
      <x:c r="E24" s="61" t="str">
        <x:v>proceedings-article</x:v>
      </x:c>
      <x:c r="F24" s="61" t="str">
        <x:v>10.1109/akgec62572.2024.10868097</x:v>
      </x:c>
      <x:c r="G24" s="61" t="str">
        <x:v>https://doi.org/10.1109/akgec62572.2024.10868097</x:v>
      </x:c>
      <x:c r="H24" s="61" t="str">
        <x:v>https://ieeexplore.ieee.org/search/searchresult.jsp?queryText=Battery%20State%20of%20Health%20Prognostic%20based%20on%20Neural%20Hierarchical%20Interpolation</x:v>
      </x:c>
      <x:c r="I24" s="61" t="str">
        <x:v>True</x:v>
      </x:c>
      <x:c r="J24" s="61" t="str">
        <x:v>False</x:v>
      </x:c>
      <x:c r="K24" s="61" t="str">
        <x:v>title_abstract_candidate</x:v>
      </x:c>
      <x:c r="L24" s="61" t="str">
        <x:v>Crossref IEEE member record; detailed relevance not yet assessed.</x:v>
      </x:c>
    </x:row>
    <x:row r="25">
      <x:c r="A25" s="61" t="str">
        <x:v>Transfer Learning-Based State of Health Estimation for Lithium-Ion Battery at Varying Temperatures</x:v>
      </x:c>
      <x:c r="B25" s="61" t="str">
        <x:v>Qingyue Huang; Jiang Liu; Wei Dai; Chao Li; Wenbin Qian; Yujuan Wang; Kai Zhao; Yan Qin</x:v>
      </x:c>
      <x:c r="C25" s="61" t="str">
        <x:v>2024-12-01</x:v>
      </x:c>
      <x:c r="D25" s="61" t="str">
        <x:v>TENCON 2024 - 2024 IEEE Region 10 Conference (TENCON)</x:v>
      </x:c>
      <x:c r="E25" s="61" t="str">
        <x:v>proceedings-article</x:v>
      </x:c>
      <x:c r="F25" s="61" t="str">
        <x:v>10.1109/tencon61640.2024.10902689</x:v>
      </x:c>
      <x:c r="G25" s="61" t="str">
        <x:v>https://doi.org/10.1109/tencon61640.2024.10902689</x:v>
      </x:c>
      <x:c r="H25" s="61" t="str">
        <x:v>https://ieeexplore.ieee.org/search/searchresult.jsp?queryText=Transfer%20Learning-Based%20State%20of%20Health%20Estimation%20for%20Lithium-Ion%20Battery%20at%20Varying%20Temperatures</x:v>
      </x:c>
      <x:c r="I25" s="61" t="str">
        <x:v>True</x:v>
      </x:c>
      <x:c r="J25" s="61" t="str">
        <x:v>False</x:v>
      </x:c>
      <x:c r="K25" s="61" t="str">
        <x:v>title_abstract_candidate</x:v>
      </x:c>
      <x:c r="L25" s="61" t="str">
        <x:v>Crossref IEEE member record; detailed relevance not yet assessed.</x:v>
      </x:c>
    </x:row>
    <x:row r="26">
      <x:c r="A26" s="61" t="str">
        <x:v>Battery health state estimation based on support vector machine and simulated annealing</x:v>
      </x:c>
      <x:c r="B26" s="61" t="str">
        <x:v>Yun Yang; Jiawen Huang; Jingyu Li; Guote Liu</x:v>
      </x:c>
      <x:c r="C26" s="61" t="str">
        <x:v>2024-12-06</x:v>
      </x:c>
      <x:c r="D26" s="61" t="str">
        <x:v>2024 4th International Conference on Intelligent Power and Systems (ICIPS)</x:v>
      </x:c>
      <x:c r="E26" s="61" t="str">
        <x:v>proceedings-article</x:v>
      </x:c>
      <x:c r="F26" s="61" t="str">
        <x:v>10.1109/icips64173.2024.10900078</x:v>
      </x:c>
      <x:c r="G26" s="61" t="str">
        <x:v>https://doi.org/10.1109/icips64173.2024.10900078</x:v>
      </x:c>
      <x:c r="H26" s="61" t="str">
        <x:v>https://ieeexplore.ieee.org/search/searchresult.jsp?queryText=Battery%20health%20state%20estimation%20based%20on%20support%20vector%20machine%20and%20simulated%20annealing</x:v>
      </x:c>
      <x:c r="I26" s="61" t="str">
        <x:v>True</x:v>
      </x:c>
      <x:c r="J26" s="61" t="str">
        <x:v>False</x:v>
      </x:c>
      <x:c r="K26" s="61" t="str">
        <x:v>title_abstract_candidate</x:v>
      </x:c>
      <x:c r="L26" s="61" t="str">
        <x:v>Crossref IEEE member record; detailed relevance not yet assessed.</x:v>
      </x:c>
    </x:row>
    <x:row r="27">
      <x:c r="A27" s="61" t="str">
        <x:v>A method for estimating and predicting the health state of lithium battery</x:v>
      </x:c>
      <x:c r="B27" s="61" t="str">
        <x:v>Jian Wang</x:v>
      </x:c>
      <x:c r="C27" s="61" t="str">
        <x:v>2024-12-13</x:v>
      </x:c>
      <x:c r="D27" s="61" t="str">
        <x:v>2024 4th International Conference on Smart Grid and Energy Internet (SGEI)</x:v>
      </x:c>
      <x:c r="E27" s="61" t="str">
        <x:v>proceedings-article</x:v>
      </x:c>
      <x:c r="F27" s="61" t="str">
        <x:v>10.1109/sgei63936.2024.10914091</x:v>
      </x:c>
      <x:c r="G27" s="61" t="str">
        <x:v>https://doi.org/10.1109/sgei63936.2024.10914091</x:v>
      </x:c>
      <x:c r="H27" s="61" t="str">
        <x:v>https://ieeexplore.ieee.org/search/searchresult.jsp?queryText=A%20method%20for%20estimating%20and%20predicting%20the%20health%20state%20of%20lithium%20battery</x:v>
      </x:c>
      <x:c r="I27" s="61" t="str">
        <x:v>True</x:v>
      </x:c>
      <x:c r="J27" s="61" t="str">
        <x:v>False</x:v>
      </x:c>
      <x:c r="K27" s="61" t="str">
        <x:v>title_abstract_candidate</x:v>
      </x:c>
      <x:c r="L27" s="61" t="str">
        <x:v>Crossref IEEE member record; detailed relevance not yet assessed.</x:v>
      </x:c>
    </x:row>
    <x:row r="28">
      <x:c r="A28" s="61" t="str">
        <x:v>Time-Frequency Hybrid Neuromorphic Computing Architecture Development for Battery State-of-Health Estimation</x:v>
      </x:c>
      <x:c r="B28" s="61" t="str">
        <x:v>Xiaoyue Ji; Yi Chen; Junfan Wang; Guangdong Zhou; Chun Sing Lai; Zhekang Dong</x:v>
      </x:c>
      <x:c r="C28" s="61" t="str">
        <x:v>2024-12-15</x:v>
      </x:c>
      <x:c r="D28" s="61" t="str">
        <x:v>IEEE Internet of Things Journal</x:v>
      </x:c>
      <x:c r="E28" s="61" t="str">
        <x:v>journal-article</x:v>
      </x:c>
      <x:c r="F28" s="61" t="str">
        <x:v>10.1109/jiot.2024.3448350</x:v>
      </x:c>
      <x:c r="G28" s="61" t="str">
        <x:v>https://doi.org/10.1109/jiot.2024.3448350</x:v>
      </x:c>
      <x:c r="H28" s="61" t="str">
        <x:v>https://ieeexplore.ieee.org/search/searchresult.jsp?queryText=Time-Frequency%20Hybrid%20Neuromorphic%20Computing%20Architecture%20Development%20for%20Battery%20State-of-Health%20Estimation</x:v>
      </x:c>
      <x:c r="I28" s="61" t="str">
        <x:v>True</x:v>
      </x:c>
      <x:c r="J28" s="61" t="str">
        <x:v>False</x:v>
      </x:c>
      <x:c r="K28" s="61" t="str">
        <x:v>title_abstract_candidate</x:v>
      </x:c>
      <x:c r="L28" s="61" t="str">
        <x:v>Crossref IEEE member record; detailed relevance not yet assessed.</x:v>
      </x:c>
    </x:row>
    <x:row r="29">
      <x:c r="A29" s="61" t="str">
        <x:v>Predicting Lithium-Ion Battery State of Health with Hybrid Ensemble Modeling</x:v>
      </x:c>
      <x:c r="B29" s="61" t="str">
        <x:v>M. A. Rahman; M. R. Hassan</x:v>
      </x:c>
      <x:c r="C29" s="61" t="str">
        <x:v>2024-12-16</x:v>
      </x:c>
      <x:c r="D29" s="61" t="str">
        <x:v>2024 Saudi Arabia Smart Grid (SASG)</x:v>
      </x:c>
      <x:c r="E29" s="61" t="str">
        <x:v>proceedings-article</x:v>
      </x:c>
      <x:c r="F29" s="61" t="str">
        <x:v>10.1109/sasg64132.2024.11535823</x:v>
      </x:c>
      <x:c r="G29" s="61" t="str">
        <x:v>https://doi.org/10.1109/sasg64132.2024.11535823</x:v>
      </x:c>
      <x:c r="H29" s="61" t="str">
        <x:v>https://ieeexplore.ieee.org/search/searchresult.jsp?queryText=Predicting%20Lithium-Ion%20Battery%20State%20of%20Health%20with%20Hybrid%20Ensemble%20Modeling</x:v>
      </x:c>
      <x:c r="I29" s="61" t="str">
        <x:v>True</x:v>
      </x:c>
      <x:c r="J29" s="61" t="str">
        <x:v>False</x:v>
      </x:c>
      <x:c r="K29" s="61" t="str">
        <x:v>title_abstract_candidate</x:v>
      </x:c>
      <x:c r="L29" s="61" t="str">
        <x:v>Crossref IEEE member record; detailed relevance not yet assessed.</x:v>
      </x:c>
    </x:row>
    <x:row r="30">
      <x:c r="A30" s="61" t="str">
        <x:v>Battery State of Charge and State of Health Estimation Using a New Hybrid Deep Neural Network Approach</x:v>
      </x:c>
      <x:c r="B30" s="61" t="str">
        <x:v>Saeid Jorkesh; Ryan Ahmed; Saeid Habibi; Reza Hosseininejad; Siyuan Xu</x:v>
      </x:c>
      <x:c r="C30" s="61" t="str">
        <x:v>2025</x:v>
      </x:c>
      <x:c r="D30" s="61" t="str">
        <x:v>IEEE Access</x:v>
      </x:c>
      <x:c r="E30" s="61" t="str">
        <x:v>journal-article</x:v>
      </x:c>
      <x:c r="F30" s="61" t="str">
        <x:v>10.1109/access.2024.3488596</x:v>
      </x:c>
      <x:c r="G30" s="61" t="str">
        <x:v>https://doi.org/10.1109/access.2024.3488596</x:v>
      </x:c>
      <x:c r="H30" s="61" t="str">
        <x:v>https://ieeexplore.ieee.org/search/searchresult.jsp?queryText=Battery%20State%20of%20Charge%20and%20State%20of%20Health%20Estimation%20Using%20a%20New%20Hybrid%20Deep%20Neural%20Network%20Approach</x:v>
      </x:c>
      <x:c r="I30" s="61" t="str">
        <x:v>True</x:v>
      </x:c>
      <x:c r="J30" s="61" t="str">
        <x:v>False</x:v>
      </x:c>
      <x:c r="K30" s="61" t="str">
        <x:v>title_abstract_candidate</x:v>
      </x:c>
      <x:c r="L30" s="61" t="str">
        <x:v>Crossref IEEE member record; detailed relevance not yet assessed.</x:v>
      </x:c>
    </x:row>
    <x:row r="31">
      <x:c r="A31" s="61" t="str">
        <x:v>Battery State of Health Estimation Methods: Implementation and Comparison of 11 Algorithms</x:v>
      </x:c>
      <x:c r="B31" s="61" t="str">
        <x:v>Eojin Kim; Sunghun Jung</x:v>
      </x:c>
      <x:c r="C31" s="61" t="str">
        <x:v>2025</x:v>
      </x:c>
      <x:c r="D31" s="61" t="str">
        <x:v>IEEE Access</x:v>
      </x:c>
      <x:c r="E31" s="61" t="str">
        <x:v>journal-article</x:v>
      </x:c>
      <x:c r="F31" s="61" t="str">
        <x:v>10.1109/access.2025.3541631</x:v>
      </x:c>
      <x:c r="G31" s="61" t="str">
        <x:v>https://doi.org/10.1109/access.2025.3541631</x:v>
      </x:c>
      <x:c r="H31" s="61" t="str">
        <x:v>https://ieeexplore.ieee.org/search/searchresult.jsp?queryText=Battery%20State%20of%20Health%20Estimation%20Methods%3A%20Implementation%20and%20Comparison%20of%2011%20Algorithms</x:v>
      </x:c>
      <x:c r="I31" s="61" t="str">
        <x:v>True</x:v>
      </x:c>
      <x:c r="J31" s="61" t="str">
        <x:v>False</x:v>
      </x:c>
      <x:c r="K31" s="61" t="str">
        <x:v>title_abstract_candidate</x:v>
      </x:c>
      <x:c r="L31" s="61" t="str">
        <x:v>Crossref IEEE member record; detailed relevance not yet assessed.</x:v>
      </x:c>
    </x:row>
    <x:row r="32">
      <x:c r="A32" s="61" t="str">
        <x:v>Lithium-Ion Battery State of Health Degradation Prediction Using Deep Learning Approaches</x:v>
      </x:c>
      <x:c r="B32" s="61" t="str">
        <x:v>Talal Alharbi; Muhammad Umair; Abdulelah Alharbi</x:v>
      </x:c>
      <x:c r="C32" s="61" t="str">
        <x:v>2025</x:v>
      </x:c>
      <x:c r="D32" s="61" t="str">
        <x:v>IEEE Access</x:v>
      </x:c>
      <x:c r="E32" s="61" t="str">
        <x:v>journal-article</x:v>
      </x:c>
      <x:c r="F32" s="61" t="str">
        <x:v>10.1109/access.2025.3530351</x:v>
      </x:c>
      <x:c r="G32" s="61" t="str">
        <x:v>https://doi.org/10.1109/access.2025.3530351</x:v>
      </x:c>
      <x:c r="H32" s="61" t="str">
        <x:v>https://ieeexplore.ieee.org/search/searchresult.jsp?queryText=Lithium-Ion%20Battery%20State%20of%20Health%20Degradation%20Prediction%20Using%20Deep%20Learning%20Approaches</x:v>
      </x:c>
      <x:c r="I32" s="61" t="str">
        <x:v>True</x:v>
      </x:c>
      <x:c r="J32" s="61" t="str">
        <x:v>False</x:v>
      </x:c>
      <x:c r="K32" s="61" t="str">
        <x:v>title_abstract_candidate</x:v>
      </x:c>
      <x:c r="L32" s="61" t="str">
        <x:v>Crossref IEEE member record; detailed relevance not yet assessed.</x:v>
      </x:c>
    </x:row>
    <x:row r="33">
      <x:c r="A33" s="61" t="str">
        <x:v>Multistage Heterogeneous Decoupling Network for Lithium-Ion Battery State-of-Health Estimation</x:v>
      </x:c>
      <x:c r="B33" s="61" t="str">
        <x:v>Qi Wang; Wentao Lyu; Qing Guo; Chengqun Wang; Zhijiang Deng</x:v>
      </x:c>
      <x:c r="C33" s="61" t="str">
        <x:v>2025</x:v>
      </x:c>
      <x:c r="D33" s="61" t="str">
        <x:v>IEEE Transactions on Instrumentation and Measurement</x:v>
      </x:c>
      <x:c r="E33" s="61" t="str">
        <x:v>journal-article</x:v>
      </x:c>
      <x:c r="F33" s="61" t="str">
        <x:v>10.1109/tim.2025.3633370</x:v>
      </x:c>
      <x:c r="G33" s="61" t="str">
        <x:v>https://doi.org/10.1109/tim.2025.3633370</x:v>
      </x:c>
      <x:c r="H33" s="61" t="str">
        <x:v>https://ieeexplore.ieee.org/search/searchresult.jsp?queryText=Multistage%20Heterogeneous%20Decoupling%20Network%20for%20Lithium-Ion%20Battery%20State-of-Health%20Estimation</x:v>
      </x:c>
      <x:c r="I33" s="61" t="str">
        <x:v>True</x:v>
      </x:c>
      <x:c r="J33" s="61" t="str">
        <x:v>False</x:v>
      </x:c>
      <x:c r="K33" s="61" t="str">
        <x:v>title_abstract_candidate</x:v>
      </x:c>
      <x:c r="L33" s="61" t="str">
        <x:v>Crossref IEEE member record; detailed relevance not yet assessed.</x:v>
      </x:c>
    </x:row>
    <x:row r="34">
      <x:c r="A34" s="61" t="str">
        <x:v>Impedance-Based State-of-Health Estimation for Lithium-Ion Battery Management Systems</x:v>
      </x:c>
      <x:c r="B34" s="61" t="str">
        <x:v>Mohammad K. Al-Smadi; Jaber A. Abu Qahouq</x:v>
      </x:c>
      <x:c r="C34" s="61" t="str">
        <x:v>2025-03-16</x:v>
      </x:c>
      <x:c r="D34" s="61" t="str">
        <x:v>2025 IEEE Applied Power Electronics Conference and Exposition (APEC)</x:v>
      </x:c>
      <x:c r="E34" s="61" t="str">
        <x:v>proceedings-article</x:v>
      </x:c>
      <x:c r="F34" s="61" t="str">
        <x:v>10.1109/apec48143.2025.10977460</x:v>
      </x:c>
      <x:c r="G34" s="61" t="str">
        <x:v>https://doi.org/10.1109/apec48143.2025.10977460</x:v>
      </x:c>
      <x:c r="H34" s="61" t="str">
        <x:v>https://ieeexplore.ieee.org/search/searchresult.jsp?queryText=Impedance-Based%20State-of-Health%20Estimation%20for%20Lithium-Ion%20Battery%20Management%20Systems</x:v>
      </x:c>
      <x:c r="I34" s="61" t="str">
        <x:v>True</x:v>
      </x:c>
      <x:c r="J34" s="61" t="str">
        <x:v>False</x:v>
      </x:c>
      <x:c r="K34" s="61" t="str">
        <x:v>title_abstract_candidate</x:v>
      </x:c>
      <x:c r="L34" s="61" t="str">
        <x:v>Crossref IEEE member record; detailed relevance not yet assessed.</x:v>
      </x:c>
    </x:row>
    <x:row r="35">
      <x:c r="A35" s="61" t="str">
        <x:v>Solid Electrolyte Interface Growth Fault Modeling for Battery State of Health Simulation</x:v>
      </x:c>
      <x:c r="B35" s="61" t="str">
        <x:v>Junya Shao; Mo-Yuen Chow; Zhiping Tan; Huiqin Jin</x:v>
      </x:c>
      <x:c r="C35" s="61" t="str">
        <x:v>2025-03-26</x:v>
      </x:c>
      <x:c r="D35" s="61" t="str">
        <x:v>2025 IEEE International Conference on Industrial Technology (ICIT)</x:v>
      </x:c>
      <x:c r="E35" s="61" t="str">
        <x:v>proceedings-article</x:v>
      </x:c>
      <x:c r="F35" s="61" t="str">
        <x:v>10.1109/icit63637.2025.10965289</x:v>
      </x:c>
      <x:c r="G35" s="61" t="str">
        <x:v>https://doi.org/10.1109/icit63637.2025.10965289</x:v>
      </x:c>
      <x:c r="H35" s="61" t="str">
        <x:v>https://ieeexplore.ieee.org/search/searchresult.jsp?queryText=Solid%20Electrolyte%20Interface%20Growth%20Fault%20Modeling%20for%20Battery%20State%20of%20Health%20Simulation</x:v>
      </x:c>
      <x:c r="I35" s="61" t="str">
        <x:v>True</x:v>
      </x:c>
      <x:c r="J35" s="61" t="str">
        <x:v>False</x:v>
      </x:c>
      <x:c r="K35" s="61" t="str">
        <x:v>title_abstract_candidate</x:v>
      </x:c>
      <x:c r="L35" s="61" t="str">
        <x:v>Crossref IEEE member record; detailed relevance not yet assessed.</x:v>
      </x:c>
    </x:row>
    <x:row r="36">
      <x:c r="A36" s="61" t="str">
        <x:v>A Hybrid Transformer-BiLSTM Model for Lithium-Ion Battery Health State Prediction</x:v>
      </x:c>
      <x:c r="B36" s="61" t="str">
        <x:v>Long Chang; Xiangyu Zhao; Zhihao Yu; Jianchao Li</x:v>
      </x:c>
      <x:c r="C36" s="61" t="str">
        <x:v>2025-04-11</x:v>
      </x:c>
      <x:c r="D36" s="61" t="str">
        <x:v>2025 6th International Conference on Mechatronics Technology and Intelligent Manufacturing (ICMTIM)</x:v>
      </x:c>
      <x:c r="E36" s="61" t="str">
        <x:v>proceedings-article</x:v>
      </x:c>
      <x:c r="F36" s="61" t="str">
        <x:v>10.1109/icmtim65484.2025.11040822</x:v>
      </x:c>
      <x:c r="G36" s="61" t="str">
        <x:v>https://doi.org/10.1109/icmtim65484.2025.11040822</x:v>
      </x:c>
      <x:c r="H36" s="61" t="str">
        <x:v>https://ieeexplore.ieee.org/search/searchresult.jsp?queryText=A%20Hybrid%20Transformer-BiLSTM%20Model%20for%20Lithium-Ion%20Battery%20Health%20State%20Prediction</x:v>
      </x:c>
      <x:c r="I36" s="61" t="str">
        <x:v>True</x:v>
      </x:c>
      <x:c r="J36" s="61" t="str">
        <x:v>False</x:v>
      </x:c>
      <x:c r="K36" s="61" t="str">
        <x:v>title_abstract_candidate</x:v>
      </x:c>
      <x:c r="L36" s="61" t="str">
        <x:v>Crossref IEEE member record; detailed relevance not yet assessed.</x:v>
      </x:c>
    </x:row>
    <x:row r="37">
      <x:c r="A37" s="61" t="str">
        <x:v>Battery State of Health Estimation Using LLM Framework</x:v>
      </x:c>
      <x:c r="B37" s="61" t="str">
        <x:v>Aybars Yunusoglu; Dexter Le; Murat Isik; Karn Tiwari; I. Can Dikmen; Teoman Karadag</x:v>
      </x:c>
      <x:c r="C37" s="61" t="str">
        <x:v>2025-04-23</x:v>
      </x:c>
      <x:c r="D37" s="61" t="str">
        <x:v>2025 26th International Symposium on Quality Electronic Design (ISQED)</x:v>
      </x:c>
      <x:c r="E37" s="61" t="str">
        <x:v>proceedings-article</x:v>
      </x:c>
      <x:c r="F37" s="61" t="str">
        <x:v>10.1109/isqed65160.2025.11014446</x:v>
      </x:c>
      <x:c r="G37" s="61" t="str">
        <x:v>https://doi.org/10.1109/isqed65160.2025.11014446</x:v>
      </x:c>
      <x:c r="H37" s="61" t="str">
        <x:v>https://ieeexplore.ieee.org/search/searchresult.jsp?queryText=Battery%20State%20of%20Health%20Estimation%20Using%20LLM%20Framework</x:v>
      </x:c>
      <x:c r="I37" s="61" t="str">
        <x:v>True</x:v>
      </x:c>
      <x:c r="J37" s="61" t="str">
        <x:v>False</x:v>
      </x:c>
      <x:c r="K37" s="61" t="str">
        <x:v>title_abstract_candidate</x:v>
      </x:c>
      <x:c r="L37" s="61" t="str">
        <x:v>Crossref IEEE member record; detailed relevance not yet assessed.</x:v>
      </x:c>
    </x:row>
    <x:row r="38">
      <x:c r="A38" s="61" t="str">
        <x:v>Improved State-of-Charge and State-of-Health Algorithms for Battery Management Systems</x:v>
      </x:c>
      <x:c r="B38" s="61" t="str">
        <x:v>Yap Wei Jien Joshua; Nguyen Nhu Hong Phuc; Huynh Tran Minh Tri; Nguyen Gia Minh Thao</x:v>
      </x:c>
      <x:c r="C38" s="61" t="str">
        <x:v>2025-05-09</x:v>
      </x:c>
      <x:c r="D38" s="61" t="str">
        <x:v>2025 10th International Conference on Control and Robotics Engineering (ICCRE)</x:v>
      </x:c>
      <x:c r="E38" s="61" t="str">
        <x:v>proceedings-article</x:v>
      </x:c>
      <x:c r="F38" s="61" t="str">
        <x:v>10.1109/iccre65455.2025.11093547</x:v>
      </x:c>
      <x:c r="G38" s="61" t="str">
        <x:v>https://doi.org/10.1109/iccre65455.2025.11093547</x:v>
      </x:c>
      <x:c r="H38" s="61" t="str">
        <x:v>https://ieeexplore.ieee.org/search/searchresult.jsp?queryText=Improved%20State-of-Charge%20and%20State-of-Health%20Algorithms%20for%20Battery%20Management%20Systems</x:v>
      </x:c>
      <x:c r="I38" s="61" t="str">
        <x:v>True</x:v>
      </x:c>
      <x:c r="J38" s="61" t="str">
        <x:v>False</x:v>
      </x:c>
      <x:c r="K38" s="61" t="str">
        <x:v>title_abstract_candidate</x:v>
      </x:c>
      <x:c r="L38" s="61" t="str">
        <x:v>Crossref IEEE member record; detailed relevance not yet assessed.</x:v>
      </x:c>
    </x:row>
    <x:row r="39">
      <x:c r="A39" s="61" t="str">
        <x:v>Enhancing Battery State of Health Prediction via Transfer Learning Method</x:v>
      </x:c>
      <x:c r="B39" s="61" t="str">
        <x:v>Shuo Sun; Weida Cheng; Wei Cai; Yiyang Ding; Chao Li</x:v>
      </x:c>
      <x:c r="C39" s="61" t="str">
        <x:v>2025-05-17</x:v>
      </x:c>
      <x:c r="D39" s="61" t="str">
        <x:v>2025 8th International Conference on Electronics Technology (ICET)</x:v>
      </x:c>
      <x:c r="E39" s="61" t="str">
        <x:v>proceedings-article</x:v>
      </x:c>
      <x:c r="F39" s="61" t="str">
        <x:v>10.1109/icet64964.2025.11102968</x:v>
      </x:c>
      <x:c r="G39" s="61" t="str">
        <x:v>https://doi.org/10.1109/icet64964.2025.11102968</x:v>
      </x:c>
      <x:c r="H39" s="61" t="str">
        <x:v>https://ieeexplore.ieee.org/search/searchresult.jsp?queryText=Enhancing%20Battery%20State%20of%20Health%20Prediction%20via%20Transfer%20Learning%20Method</x:v>
      </x:c>
      <x:c r="I39" s="61" t="str">
        <x:v>True</x:v>
      </x:c>
      <x:c r="J39" s="61" t="str">
        <x:v>False</x:v>
      </x:c>
      <x:c r="K39" s="61" t="str">
        <x:v>title_abstract_candidate</x:v>
      </x:c>
      <x:c r="L39" s="61" t="str">
        <x:v>Crossref IEEE member record; detailed relevance not yet assessed.</x:v>
      </x:c>
    </x:row>
    <x:row r="40">
      <x:c r="A40" s="61" t="str">
        <x:v>Lithium Battery State of health Prediction Based on Automatic Feature Selection</x:v>
      </x:c>
      <x:c r="B40" s="61" t="str">
        <x:v>Xin Lin; Jie Cao; Jinhua Wang</x:v>
      </x:c>
      <x:c r="C40" s="61" t="str">
        <x:v>2025-05-17</x:v>
      </x:c>
      <x:c r="D40" s="61" t="str">
        <x:v>2025 40th Youth Academic Annual Conference of Chinese Association of Automation (YAC)</x:v>
      </x:c>
      <x:c r="E40" s="61" t="str">
        <x:v>proceedings-article</x:v>
      </x:c>
      <x:c r="F40" s="61" t="str">
        <x:v>10.1109/yac66630.2025.11150030</x:v>
      </x:c>
      <x:c r="G40" s="61" t="str">
        <x:v>https://doi.org/10.1109/yac66630.2025.11150030</x:v>
      </x:c>
      <x:c r="H40" s="61" t="str">
        <x:v>https://ieeexplore.ieee.org/search/searchresult.jsp?queryText=Lithium%20Battery%20State%20of%20health%20Prediction%20Based%20on%20Automatic%20Feature%20Selection</x:v>
      </x:c>
      <x:c r="I40" s="61" t="str">
        <x:v>True</x:v>
      </x:c>
      <x:c r="J40" s="61" t="str">
        <x:v>False</x:v>
      </x:c>
      <x:c r="K40" s="61" t="str">
        <x:v>title_abstract_candidate</x:v>
      </x:c>
      <x:c r="L40" s="61" t="str">
        <x:v>Crossref IEEE member record; detailed relevance not yet assessed.</x:v>
      </x:c>
    </x:row>
    <x:row r="41">
      <x:c r="A41" s="61" t="str">
        <x:v>Kalman filter algorithm for embedded systems for Li-Ion battery state of health estimation</x:v>
      </x:c>
      <x:c r="B41" s="61" t="str">
        <x:v>Efstathios Fiorentis</x:v>
      </x:c>
      <x:c r="C41" s="61" t="str">
        <x:v>2025-05-19</x:v>
      </x:c>
      <x:c r="D41" s="61" t="str">
        <x:v>2025 IEEE International Instrumentation and Measurement Technology Conference (I2MTC)</x:v>
      </x:c>
      <x:c r="E41" s="61" t="str">
        <x:v>proceedings-article</x:v>
      </x:c>
      <x:c r="F41" s="61" t="str">
        <x:v>10.1109/i2mtc62753.2025.11079093</x:v>
      </x:c>
      <x:c r="G41" s="61" t="str">
        <x:v>https://doi.org/10.1109/i2mtc62753.2025.11079093</x:v>
      </x:c>
      <x:c r="H41" s="61" t="str">
        <x:v>https://ieeexplore.ieee.org/search/searchresult.jsp?queryText=Kalman%20filter%20algorithm%20for%20embedded%20systems%20for%20Li-Ion%20battery%20state%20of%20health%20estimation</x:v>
      </x:c>
      <x:c r="I41" s="61" t="str">
        <x:v>True</x:v>
      </x:c>
      <x:c r="J41" s="61" t="str">
        <x:v>False</x:v>
      </x:c>
      <x:c r="K41" s="61" t="str">
        <x:v>title_abstract_candidate</x:v>
      </x:c>
      <x:c r="L41" s="61" t="str">
        <x:v>Crossref IEEE member record; detailed relevance not yet assessed.</x:v>
      </x:c>
    </x:row>
    <x:row r="42">
      <x:c r="A42" s="61" t="str">
        <x:v>A Machine Learning Approach forecasting Li-ion Battery State-of-Health and Discharge Behavior</x:v>
      </x:c>
      <x:c r="B42" s="61" t="str">
        <x:v>Ahmed Karaki; Ayman Karaki; Sertac Bayhan; Haitham Abu-Rub; Marwan Khraisheh</x:v>
      </x:c>
      <x:c r="C42" s="61" t="str">
        <x:v>2025-05-20</x:v>
      </x:c>
      <x:c r="D42" s="61" t="str">
        <x:v>2025 IEEE 19th International Conference on Compatibility, Power Electronics and Power Engineering (CPE-POWERENG)</x:v>
      </x:c>
      <x:c r="E42" s="61" t="str">
        <x:v>proceedings-article</x:v>
      </x:c>
      <x:c r="F42" s="61" t="str">
        <x:v>10.1109/cpe-powereng63314.2025.11027236</x:v>
      </x:c>
      <x:c r="G42" s="61" t="str">
        <x:v>https://doi.org/10.1109/cpe-powereng63314.2025.11027236</x:v>
      </x:c>
      <x:c r="H42" s="61" t="str">
        <x:v>https://ieeexplore.ieee.org/search/searchresult.jsp?queryText=A%20Machine%20Learning%20Approach%20forecasting%20Li-ion%20Battery%20State-of-Health%20and%20Discharge%20Behavior</x:v>
      </x:c>
      <x:c r="I42" s="61" t="str">
        <x:v>True</x:v>
      </x:c>
      <x:c r="J42" s="61" t="str">
        <x:v>False</x:v>
      </x:c>
      <x:c r="K42" s="61" t="str">
        <x:v>title_abstract_candidate</x:v>
      </x:c>
      <x:c r="L42" s="61" t="str">
        <x:v>Crossref IEEE member record; detailed relevance not yet assessed.</x:v>
      </x:c>
    </x:row>
    <x:row r="43">
      <x:c r="A43" s="61" t="str">
        <x:v>Machine Learning-Based Battery State of Health Prediction Using Discharge Voltage</x:v>
      </x:c>
      <x:c r="B43" s="61" t="str">
        <x:v>Gökhan Manav; Muhammed Mutlu Yapici; Ali Saygin</x:v>
      </x:c>
      <x:c r="C43" s="61" t="str">
        <x:v>2025-05-23</x:v>
      </x:c>
      <x:c r="D43" s="61" t="str">
        <x:v>2025 7th International Congress on Human-Computer Interaction, Optimization and Robotic Applications (ICHORA)</x:v>
      </x:c>
      <x:c r="E43" s="61" t="str">
        <x:v>proceedings-article</x:v>
      </x:c>
      <x:c r="F43" s="61" t="str">
        <x:v>10.1109/ichora65333.2025.11017233</x:v>
      </x:c>
      <x:c r="G43" s="61" t="str">
        <x:v>https://doi.org/10.1109/ichora65333.2025.11017233</x:v>
      </x:c>
      <x:c r="H43" s="61" t="str">
        <x:v>https://ieeexplore.ieee.org/search/searchresult.jsp?queryText=Machine%20Learning-Based%20Battery%20State%20of%20Health%20Prediction%20Using%20Discharge%20Voltage</x:v>
      </x:c>
      <x:c r="I43" s="61" t="str">
        <x:v>True</x:v>
      </x:c>
      <x:c r="J43" s="61" t="str">
        <x:v>False</x:v>
      </x:c>
      <x:c r="K43" s="61" t="str">
        <x:v>title_abstract_candidate</x:v>
      </x:c>
      <x:c r="L43" s="61" t="str">
        <x:v>Crossref IEEE member record; detailed relevance not yet assessed.</x:v>
      </x:c>
    </x:row>
    <x:row r="44">
      <x:c r="A44" s="61" t="str">
        <x:v>State of Health (SOH) Estimation of a 72V Battery Pack Using CatBoost Algorithm</x:v>
      </x:c>
      <x:c r="B44" s="61" t="str">
        <x:v>Raudhah Nurul Auliya; Bandiyah Sri Aprillia; Desri Kristina Silalahi; Marsha Clarabell</x:v>
      </x:c>
      <x:c r="C44" s="61" t="str">
        <x:v>2025-05-24</x:v>
      </x:c>
      <x:c r="D44" s="61" t="str">
        <x:v>2025 IEEE International Conference on Artificial Intelligence and Mechatronics Systems (AIMS)</x:v>
      </x:c>
      <x:c r="E44" s="61" t="str">
        <x:v>proceedings-article</x:v>
      </x:c>
      <x:c r="F44" s="61" t="str">
        <x:v>10.1109/aims66189.2025.11229715</x:v>
      </x:c>
      <x:c r="G44" s="61" t="str">
        <x:v>https://doi.org/10.1109/aims66189.2025.11229715</x:v>
      </x:c>
      <x:c r="H44" s="61" t="str">
        <x:v>https://ieeexplore.ieee.org/search/searchresult.jsp?queryText=State%20of%20Health%20%28SOH%29%20Estimation%20of%20a%2072V%20Battery%20Pack%20Using%20CatBoost%20Algorithm</x:v>
      </x:c>
      <x:c r="I44" s="61" t="str">
        <x:v>True</x:v>
      </x:c>
      <x:c r="J44" s="61" t="str">
        <x:v>False</x:v>
      </x:c>
      <x:c r="K44" s="61" t="str">
        <x:v>title_abstract_candidate</x:v>
      </x:c>
      <x:c r="L44" s="61" t="str">
        <x:v>Crossref IEEE member record; detailed relevance not yet assessed.</x:v>
      </x:c>
    </x:row>
    <x:row r="45">
      <x:c r="A45" s="61" t="str">
        <x:v>State of Health Prediction of Lithium-Ion Battery Using Machine Learning Algorithms</x:v>
      </x:c>
      <x:c r="B45" s="61" t="str">
        <x:v>Tran Thuan Hoang; The-Nghia Nguyen; Truc Thanh Tran; Du Van Ngan; Nong Trong Tu; Duong Van Hoa</x:v>
      </x:c>
      <x:c r="C45" s="61" t="str">
        <x:v>2025-05-29</x:v>
      </x:c>
      <x:c r="D45" s="61" t="str">
        <x:v>2025 IEEE/ACIS 23rd International Conference on Software Engineering Research, Management and Applications (SERA)</x:v>
      </x:c>
      <x:c r="E45" s="61" t="str">
        <x:v>proceedings-article</x:v>
      </x:c>
      <x:c r="F45" s="61" t="str">
        <x:v>10.1109/sera65747.2025.11154633</x:v>
      </x:c>
      <x:c r="G45" s="61" t="str">
        <x:v>https://doi.org/10.1109/sera65747.2025.11154633</x:v>
      </x:c>
      <x:c r="H45" s="61" t="str">
        <x:v>https://ieeexplore.ieee.org/search/searchresult.jsp?queryText=State%20of%20Health%20Prediction%20of%20Lithium-Ion%20Battery%20Using%20Machine%20Learning%20Algorithms</x:v>
      </x:c>
      <x:c r="I45" s="61" t="str">
        <x:v>True</x:v>
      </x:c>
      <x:c r="J45" s="61" t="str">
        <x:v>False</x:v>
      </x:c>
      <x:c r="K45" s="61" t="str">
        <x:v>title_abstract_candidate</x:v>
      </x:c>
      <x:c r="L45" s="61" t="str">
        <x:v>Crossref IEEE member record; detailed relevance not yet assessed.</x:v>
      </x:c>
    </x:row>
    <x:row r="46">
      <x:c r="A46" s="61" t="str">
        <x:v>A Domain-Adversarial Neural Network for Transferable Lithium-Ion Battery State-of-Health Estimation</x:v>
      </x:c>
      <x:c r="B46" s="61" t="str">
        <x:v>Jinhao Meng; Dingcai Hu; Mingqiang Lin; Jichang Peng; Ji Wu; Daniel-Ioan Stroe</x:v>
      </x:c>
      <x:c r="C46" s="61" t="str">
        <x:v>2025-06</x:v>
      </x:c>
      <x:c r="D46" s="61" t="str">
        <x:v>IEEE Transactions on Transportation Electrification</x:v>
      </x:c>
      <x:c r="E46" s="61" t="str">
        <x:v>journal-article</x:v>
      </x:c>
      <x:c r="F46" s="61" t="str">
        <x:v>10.1109/tte.2025.3530536</x:v>
      </x:c>
      <x:c r="G46" s="61" t="str">
        <x:v>https://doi.org/10.1109/tte.2025.3530536</x:v>
      </x:c>
      <x:c r="H46" s="61" t="str">
        <x:v>https://ieeexplore.ieee.org/search/searchresult.jsp?queryText=A%20Domain-Adversarial%20Neural%20Network%20for%20Transferable%20Lithium-Ion%20Battery%20State-of-Health%20Estimation</x:v>
      </x:c>
      <x:c r="I46" s="61" t="str">
        <x:v>True</x:v>
      </x:c>
      <x:c r="J46" s="61" t="str">
        <x:v>False</x:v>
      </x:c>
      <x:c r="K46" s="61" t="str">
        <x:v>title_abstract_candidate</x:v>
      </x:c>
      <x:c r="L46" s="61" t="str">
        <x:v>Crossref IEEE member record; detailed relevance not yet assessed.</x:v>
      </x:c>
    </x:row>
    <x:row r="47">
      <x:c r="A47" s="61" t="str">
        <x:v>A Novel Approach for Battery State-of-Health Estimation Using Convolutional Auto-Encoders</x:v>
      </x:c>
      <x:c r="B47" s="61" t="str">
        <x:v>Sajad Shahsavari; Eero Immonen; Hashem Haghbayan; Juha Plosila</x:v>
      </x:c>
      <x:c r="C47" s="61" t="str">
        <x:v>2025-06-24</x:v>
      </x:c>
      <x:c r="D47" s="61" t="str">
        <x:v>2025 European Control Conference (ECC)</x:v>
      </x:c>
      <x:c r="E47" s="61" t="str">
        <x:v>proceedings-article</x:v>
      </x:c>
      <x:c r="F47" s="61" t="str">
        <x:v>10.23919/ecc65951.2025.11186898</x:v>
      </x:c>
      <x:c r="G47" s="61" t="str">
        <x:v>https://doi.org/10.23919/ecc65951.2025.11186898</x:v>
      </x:c>
      <x:c r="H47" s="61" t="str">
        <x:v>https://ieeexplore.ieee.org/search/searchresult.jsp?queryText=A%20Novel%20Approach%20for%20Battery%20State-of-Health%20Estimation%20Using%20Convolutional%20Auto-Encoders</x:v>
      </x:c>
      <x:c r="I47" s="61" t="str">
        <x:v>True</x:v>
      </x:c>
      <x:c r="J47" s="61" t="str">
        <x:v>False</x:v>
      </x:c>
      <x:c r="K47" s="61" t="str">
        <x:v>title_abstract_candidate</x:v>
      </x:c>
      <x:c r="L47" s="61" t="str">
        <x:v>Crossref IEEE member record; detailed relevance not yet assessed.</x:v>
      </x:c>
    </x:row>
    <x:row r="48">
      <x:c r="A48" s="61" t="str">
        <x:v>Enhancing Battery State of Health Estimation Using a Hybrid Kalman Filter and LSTM Approach</x:v>
      </x:c>
      <x:c r="B48" s="61" t="str">
        <x:v>Hela Gannoun; Lotfi Saidi; Jihene Sidhom</x:v>
      </x:c>
      <x:c r="C48" s="61" t="str">
        <x:v>2025-07-01</x:v>
      </x:c>
      <x:c r="D48" s="61" t="str">
        <x:v>2025 International Conference on Control, Automation and Diagnosis (ICCAD)</x:v>
      </x:c>
      <x:c r="E48" s="61" t="str">
        <x:v>proceedings-article</x:v>
      </x:c>
      <x:c r="F48" s="61" t="str">
        <x:v>10.1109/iccad64771.2025.11099121</x:v>
      </x:c>
      <x:c r="G48" s="61" t="str">
        <x:v>https://doi.org/10.1109/iccad64771.2025.11099121</x:v>
      </x:c>
      <x:c r="H48" s="61" t="str">
        <x:v>https://ieeexplore.ieee.org/search/searchresult.jsp?queryText=Enhancing%20Battery%20State%20of%20Health%20Estimation%20Using%20a%20Hybrid%20Kalman%20Filter%20and%20LSTM%20Approach</x:v>
      </x:c>
      <x:c r="I48" s="61" t="str">
        <x:v>True</x:v>
      </x:c>
      <x:c r="J48" s="61" t="str">
        <x:v>False</x:v>
      </x:c>
      <x:c r="K48" s="61" t="str">
        <x:v>title_abstract_candidate</x:v>
      </x:c>
      <x:c r="L48" s="61" t="str">
        <x:v>Crossref IEEE member record; detailed relevance not yet assessed.</x:v>
      </x:c>
    </x:row>
    <x:row r="49">
      <x:c r="A49" s="61" t="str">
        <x:v>Battery State of Health Classification Based on Dynamic Time Warping and Fine Tree</x:v>
      </x:c>
      <x:c r="B49" s="61" t="str">
        <x:v>Arafat Fousseni; Oleksiy Gensytskyy; Martin J.-D. Otis</x:v>
      </x:c>
      <x:c r="C49" s="61" t="str">
        <x:v>2025-07-03</x:v>
      </x:c>
      <x:c r="D49" s="61" t="str">
        <x:v>2025 5th International Conference on Electrical, Computer and Energy Technologies (ICECET)</x:v>
      </x:c>
      <x:c r="E49" s="61" t="str">
        <x:v>proceedings-article</x:v>
      </x:c>
      <x:c r="F49" s="61" t="str">
        <x:v>10.1109/icecet63943.2025.11472310</x:v>
      </x:c>
      <x:c r="G49" s="61" t="str">
        <x:v>https://doi.org/10.1109/icecet63943.2025.11472310</x:v>
      </x:c>
      <x:c r="H49" s="61" t="str">
        <x:v>https://ieeexplore.ieee.org/search/searchresult.jsp?queryText=Battery%20State%20of%20Health%20Classification%20Based%20on%20Dynamic%20Time%20Warping%20and%20Fine%20Tree</x:v>
      </x:c>
      <x:c r="I49" s="61" t="str">
        <x:v>True</x:v>
      </x:c>
      <x:c r="J49" s="61" t="str">
        <x:v>False</x:v>
      </x:c>
      <x:c r="K49" s="61" t="str">
        <x:v>title_abstract_candidate</x:v>
      </x:c>
      <x:c r="L49" s="61" t="str">
        <x:v>Crossref IEEE member record; detailed relevance not yet assessed.</x:v>
      </x:c>
    </x:row>
    <x:row r="50">
      <x:c r="A50" s="61" t="str">
        <x:v>Battery state of health estimation based on dynamic time warping</x:v>
      </x:c>
      <x:c r="B50" s="61" t="str">
        <x:v>Arafat Fousseni; Chourik Fousseni; Khaled Ziane; Martin J.-D. Otis</x:v>
      </x:c>
      <x:c r="C50" s="61" t="str">
        <x:v>2025-07-03</x:v>
      </x:c>
      <x:c r="D50" s="61" t="str">
        <x:v>2025 5th International Conference on Electrical, Computer and Energy Technologies (ICECET)</x:v>
      </x:c>
      <x:c r="E50" s="61" t="str">
        <x:v>proceedings-article</x:v>
      </x:c>
      <x:c r="F50" s="61" t="str">
        <x:v>10.1109/icecet63943.2025.11472070</x:v>
      </x:c>
      <x:c r="G50" s="61" t="str">
        <x:v>https://doi.org/10.1109/icecet63943.2025.11472070</x:v>
      </x:c>
      <x:c r="H50" s="61" t="str">
        <x:v>https://ieeexplore.ieee.org/search/searchresult.jsp?queryText=Battery%20state%20of%20health%20estimation%20based%20on%20dynamic%20time%20warping</x:v>
      </x:c>
      <x:c r="I50" s="61" t="str">
        <x:v>True</x:v>
      </x:c>
      <x:c r="J50" s="61" t="str">
        <x:v>False</x:v>
      </x:c>
      <x:c r="K50" s="61" t="str">
        <x:v>title_abstract_candidate</x:v>
      </x:c>
      <x:c r="L50" s="61" t="str">
        <x:v>Crossref IEEE member record; detailed relevance not yet assessed.</x:v>
      </x:c>
    </x:row>
    <x:row r="51">
      <x:c r="A51" s="61" t="str">
        <x:v>Deep Learning-Based Early Prediction of Lithium-Ion Battery State-of-Health</x:v>
      </x:c>
      <x:c r="B51" s="61" t="str">
        <x:v>Ravi Velugula; Kanupriya Mittal; Mayank Mittal</x:v>
      </x:c>
      <x:c r="C51" s="61" t="str">
        <x:v>2025-07-03</x:v>
      </x:c>
      <x:c r="D51" s="61" t="str">
        <x:v>2025 5th International Conference on Electrical, Computer and Energy Technologies (ICECET)</x:v>
      </x:c>
      <x:c r="E51" s="61" t="str">
        <x:v>proceedings-article</x:v>
      </x:c>
      <x:c r="F51" s="61" t="str">
        <x:v>10.1109/icecet63943.2025.11471901</x:v>
      </x:c>
      <x:c r="G51" s="61" t="str">
        <x:v>https://doi.org/10.1109/icecet63943.2025.11471901</x:v>
      </x:c>
      <x:c r="H51" s="61" t="str">
        <x:v>https://ieeexplore.ieee.org/search/searchresult.jsp?queryText=Deep%20Learning-Based%20Early%20Prediction%20of%20Lithium-Ion%20Battery%20State-of-Health</x:v>
      </x:c>
      <x:c r="I51" s="61" t="str">
        <x:v>True</x:v>
      </x:c>
      <x:c r="J51" s="61" t="str">
        <x:v>False</x:v>
      </x:c>
      <x:c r="K51" s="61" t="str">
        <x:v>title_abstract_candidate</x:v>
      </x:c>
      <x:c r="L51" s="61" t="str">
        <x:v>Crossref IEEE member record; detailed relevance not yet assessed.</x:v>
      </x:c>
    </x:row>
    <x:row r="52">
      <x:c r="A52" s="61" t="str">
        <x:v>Robust Estimation of Battery State of Health Using Reference Voltage Trajectory</x:v>
      </x:c>
      <x:c r="B52" s="61" t="str">
        <x:v>Rui Huang; Jackson Fogelquist; Xinfan Lin</x:v>
      </x:c>
      <x:c r="C52" s="61" t="str">
        <x:v>2025-07-08</x:v>
      </x:c>
      <x:c r="D52" s="61" t="str">
        <x:v>2025 American Control Conference (ACC)</x:v>
      </x:c>
      <x:c r="E52" s="61" t="str">
        <x:v>proceedings-article</x:v>
      </x:c>
      <x:c r="F52" s="61" t="str">
        <x:v>10.23919/acc63710.2025.11108071</x:v>
      </x:c>
      <x:c r="G52" s="61" t="str">
        <x:v>https://doi.org/10.23919/acc63710.2025.11108071</x:v>
      </x:c>
      <x:c r="H52" s="61" t="str">
        <x:v>https://ieeexplore.ieee.org/search/searchresult.jsp?queryText=Robust%20Estimation%20of%20Battery%20State%20of%20Health%20Using%20Reference%20Voltage%20Trajectory</x:v>
      </x:c>
      <x:c r="I52" s="61" t="str">
        <x:v>True</x:v>
      </x:c>
      <x:c r="J52" s="61" t="str">
        <x:v>False</x:v>
      </x:c>
      <x:c r="K52" s="61" t="str">
        <x:v>title_abstract_candidate</x:v>
      </x:c>
      <x:c r="L52" s="61" t="str">
        <x:v>Crossref IEEE member record; detailed relevance not yet assessed.</x:v>
      </x:c>
    </x:row>
    <x:row r="53">
      <x:c r="A53" s="61" t="str">
        <x:v>Robust Physics-Informed Neural Network for State of Health Estimation of Lithium-Ion Battery</x:v>
      </x:c>
      <x:c r="B53" s="61" t="str">
        <x:v>Xiaojia Luo; Guangzhong Dong</x:v>
      </x:c>
      <x:c r="C53" s="61" t="str">
        <x:v>2025-07-11</x:v>
      </x:c>
      <x:c r="D53" s="61" t="str">
        <x:v>2025 IEEE 26th China Conference on System Simulation Technology and its Applications (CCSSTA)</x:v>
      </x:c>
      <x:c r="E53" s="61" t="str">
        <x:v>proceedings-article</x:v>
      </x:c>
      <x:c r="F53" s="61" t="str">
        <x:v>10.1109/ieeeconf65522.2025.11137014</x:v>
      </x:c>
      <x:c r="G53" s="61" t="str">
        <x:v>https://doi.org/10.1109/ieeeconf65522.2025.11137014</x:v>
      </x:c>
      <x:c r="H53" s="61" t="str">
        <x:v>https://ieeexplore.ieee.org/search/searchresult.jsp?queryText=Robust%20Physics-Informed%20Neural%20Network%20for%20State%20of%20Health%20Estimation%20of%20Lithium-Ion%20Battery</x:v>
      </x:c>
      <x:c r="I53" s="61" t="str">
        <x:v>True</x:v>
      </x:c>
      <x:c r="J53" s="61" t="str">
        <x:v>False</x:v>
      </x:c>
      <x:c r="K53" s="61" t="str">
        <x:v>title_abstract_candidate</x:v>
      </x:c>
      <x:c r="L53" s="61" t="str">
        <x:v>Crossref IEEE member record; detailed relevance not yet assessed.</x:v>
      </x:c>
    </x:row>
    <x:row r="54">
      <x:c r="A54" s="61" t="str">
        <x:v>Lithium Battery Health State Prediction Based on LSTM</x:v>
      </x:c>
      <x:c r="B54" s="61" t="str">
        <x:v>Wenbo He; Ruizhi Zhang; Xingjian Wang; Shaoping Wang; Alexander I. Gavrilov</x:v>
      </x:c>
      <x:c r="C54" s="61" t="str">
        <x:v>2025-08-03</x:v>
      </x:c>
      <x:c r="D54" s="61" t="str">
        <x:v>2025 IEEE 20th Conference on Industrial Electronics and Applications (ICIEA)</x:v>
      </x:c>
      <x:c r="E54" s="61" t="str">
        <x:v>proceedings-article</x:v>
      </x:c>
      <x:c r="F54" s="61" t="str">
        <x:v>10.1109/iciea65512.2025.11148424</x:v>
      </x:c>
      <x:c r="G54" s="61" t="str">
        <x:v>https://doi.org/10.1109/iciea65512.2025.11148424</x:v>
      </x:c>
      <x:c r="H54" s="61" t="str">
        <x:v>https://ieeexplore.ieee.org/search/searchresult.jsp?queryText=Lithium%20Battery%20Health%20State%20Prediction%20Based%20on%20LSTM</x:v>
      </x:c>
      <x:c r="I54" s="61" t="str">
        <x:v>True</x:v>
      </x:c>
      <x:c r="J54" s="61" t="str">
        <x:v>False</x:v>
      </x:c>
      <x:c r="K54" s="61" t="str">
        <x:v>title_abstract_candidate</x:v>
      </x:c>
      <x:c r="L54" s="61" t="str">
        <x:v>Crossref IEEE member record; detailed relevance not yet assessed.</x:v>
      </x:c>
    </x:row>
    <x:row r="55">
      <x:c r="A55" s="61" t="str">
        <x:v>Design of Battery State-of-Health Estimator Based on Least-Squares Support Vector Machine</x:v>
      </x:c>
      <x:c r="B55" s="61" t="str">
        <x:v>Luca Cavanini; Pawel Majecki; Mike J. Grimble; Gerrit M. van der Molen; Andrea Monteriù</x:v>
      </x:c>
      <x:c r="C55" s="61" t="str">
        <x:v>2025-08-07</x:v>
      </x:c>
      <x:c r="D55" s="61" t="str">
        <x:v>2025 International Conference on Artificial Intelligence, Computer, Data Sciences and Applications (ACDSA)</x:v>
      </x:c>
      <x:c r="E55" s="61" t="str">
        <x:v>proceedings-article</x:v>
      </x:c>
      <x:c r="F55" s="61" t="str">
        <x:v>10.1109/acdsa65407.2025.11166072</x:v>
      </x:c>
      <x:c r="G55" s="61" t="str">
        <x:v>https://doi.org/10.1109/acdsa65407.2025.11166072</x:v>
      </x:c>
      <x:c r="H55" s="61" t="str">
        <x:v>https://ieeexplore.ieee.org/search/searchresult.jsp?queryText=Design%20of%20Battery%20State-of-Health%20Estimator%20Based%20on%20Least-Squares%20Support%20Vector%20Machine</x:v>
      </x:c>
      <x:c r="I55" s="61" t="str">
        <x:v>True</x:v>
      </x:c>
      <x:c r="J55" s="61" t="str">
        <x:v>False</x:v>
      </x:c>
      <x:c r="K55" s="61" t="str">
        <x:v>title_abstract_candidate</x:v>
      </x:c>
      <x:c r="L55" s="61" t="str">
        <x:v>Crossref IEEE member record; detailed relevance not yet assessed.</x:v>
      </x:c>
    </x:row>
    <x:row r="56">
      <x:c r="A56" s="61" t="str">
        <x:v>A Battery State of Health Estimation Based on Support Vector Machine</x:v>
      </x:c>
      <x:c r="B56" s="61" t="str">
        <x:v>Tianchi Ruan</x:v>
      </x:c>
      <x:c r="C56" s="61" t="str">
        <x:v>2025-08-08</x:v>
      </x:c>
      <x:c r="D56" s="61" t="str">
        <x:v>2025 4th International Conference on Electronic Electrical Engineering and Automatic Control (EEEAC)</x:v>
      </x:c>
      <x:c r="E56" s="61" t="str">
        <x:v>proceedings-article</x:v>
      </x:c>
      <x:c r="F56" s="61" t="str">
        <x:v>10.1109/eeeac66585.2025.11155426</x:v>
      </x:c>
      <x:c r="G56" s="61" t="str">
        <x:v>https://doi.org/10.1109/eeeac66585.2025.11155426</x:v>
      </x:c>
      <x:c r="H56" s="61" t="str">
        <x:v>https://ieeexplore.ieee.org/search/searchresult.jsp?queryText=A%20Battery%20State%20of%20Health%20Estimation%20Based%20on%20Support%20Vector%20Machine</x:v>
      </x:c>
      <x:c r="I56" s="61" t="str">
        <x:v>True</x:v>
      </x:c>
      <x:c r="J56" s="61" t="str">
        <x:v>False</x:v>
      </x:c>
      <x:c r="K56" s="61" t="str">
        <x:v>title_abstract_candidate</x:v>
      </x:c>
      <x:c r="L56" s="61" t="str">
        <x:v>Crossref IEEE member record; detailed relevance not yet assessed.</x:v>
      </x:c>
    </x:row>
    <x:row r="57">
      <x:c r="A57" s="61" t="str">
        <x:v>PG-DAT: Physics-Guided Domain-Adaptive Transformer for Battery State-of-Health Forecast</x:v>
      </x:c>
      <x:c r="B57" s="61" t="str">
        <x:v>Yue Yin; Jing Jiang; Yihan Huang; Zhilin Gao</x:v>
      </x:c>
      <x:c r="C57" s="61" t="str">
        <x:v>2025-08-10</x:v>
      </x:c>
      <x:c r="D57" s="61" t="str">
        <x:v>2025 IEEE/CIC International Conference on Communications in China (ICCC Workshops)</x:v>
      </x:c>
      <x:c r="E57" s="61" t="str">
        <x:v>proceedings-article</x:v>
      </x:c>
      <x:c r="F57" s="61" t="str">
        <x:v>10.1109/icccworkshops67136.2025.11148112</x:v>
      </x:c>
      <x:c r="G57" s="61" t="str">
        <x:v>https://doi.org/10.1109/icccworkshops67136.2025.11148112</x:v>
      </x:c>
      <x:c r="H57" s="61" t="str">
        <x:v>https://ieeexplore.ieee.org/search/searchresult.jsp?queryText=PG-DAT%3A%20Physics-Guided%20Domain-Adaptive%20Transformer%20for%20Battery%20State-of-Health%20Forecast</x:v>
      </x:c>
      <x:c r="I57" s="61" t="str">
        <x:v>True</x:v>
      </x:c>
      <x:c r="J57" s="61" t="str">
        <x:v>False</x:v>
      </x:c>
      <x:c r="K57" s="61" t="str">
        <x:v>title_abstract_candidate</x:v>
      </x:c>
      <x:c r="L57" s="61" t="str">
        <x:v>Crossref IEEE member record; detailed relevance not yet assessed.</x:v>
      </x:c>
    </x:row>
    <x:row r="58">
      <x:c r="A58" s="61" t="str">
        <x:v>Generative-Enhanced Physics-Informed Neural Network for Lithium-Ion Battery State of Health Estimation</x:v>
      </x:c>
      <x:c r="B58" s="61" t="str">
        <x:v>Yu Ma; Zeye Liu; Songtao Ye; Dou An; Guanghua Zhang</x:v>
      </x:c>
      <x:c r="C58" s="61" t="str">
        <x:v>2025-08-15</x:v>
      </x:c>
      <x:c r="D58" s="61" t="str">
        <x:v>IEEE Sensors Journal</x:v>
      </x:c>
      <x:c r="E58" s="61" t="str">
        <x:v>journal-article</x:v>
      </x:c>
      <x:c r="F58" s="61" t="str">
        <x:v>10.1109/jsen.2025.3585543</x:v>
      </x:c>
      <x:c r="G58" s="61" t="str">
        <x:v>https://doi.org/10.1109/jsen.2025.3585543</x:v>
      </x:c>
      <x:c r="H58" s="61" t="str">
        <x:v>https://ieeexplore.ieee.org/search/searchresult.jsp?queryText=Generative-Enhanced%20Physics-Informed%20Neural%20Network%20for%20Lithium-Ion%20Battery%20State%20of%20Health%20Estimation</x:v>
      </x:c>
      <x:c r="I58" s="61" t="str">
        <x:v>True</x:v>
      </x:c>
      <x:c r="J58" s="61" t="str">
        <x:v>False</x:v>
      </x:c>
      <x:c r="K58" s="61" t="str">
        <x:v>title_abstract_candidate</x:v>
      </x:c>
      <x:c r="L58" s="61" t="str">
        <x:v>Crossref IEEE member record; detailed relevance not yet assessed.</x:v>
      </x:c>
    </x:row>
    <x:row r="59">
      <x:c r="A59" s="61" t="str">
        <x:v>Battery State of Health Prediction Based on Telematics Data from Pure Electric Commercial Vehicles</x:v>
      </x:c>
      <x:c r="B59" s="61" t="str">
        <x:v>Mengdan Sun; Xiaomei Wu; Zhenlei Li; Bingjian Yue</x:v>
      </x:c>
      <x:c r="C59" s="61" t="str">
        <x:v>2025-08-22</x:v>
      </x:c>
      <x:c r="D59" s="61" t="str">
        <x:v>2025 3rd International Conference on Power, Grid and Energy Storage</x:v>
      </x:c>
      <x:c r="E59" s="61" t="str">
        <x:v>proceedings-article</x:v>
      </x:c>
      <x:c r="F59" s="61" t="str">
        <x:v>10.1109/pges66344.2025.11193526</x:v>
      </x:c>
      <x:c r="G59" s="61" t="str">
        <x:v>https://doi.org/10.1109/pges66344.2025.11193526</x:v>
      </x:c>
      <x:c r="H59" s="61" t="str">
        <x:v>https://ieeexplore.ieee.org/search/searchresult.jsp?queryText=Battery%20State%20of%20Health%20Prediction%20Based%20on%20Telematics%20Data%20from%20Pure%20Electric%20Commercial%20Vehicles</x:v>
      </x:c>
      <x:c r="I59" s="61" t="str">
        <x:v>True</x:v>
      </x:c>
      <x:c r="J59" s="61" t="str">
        <x:v>False</x:v>
      </x:c>
      <x:c r="K59" s="61" t="str">
        <x:v>title_abstract_candidate</x:v>
      </x:c>
      <x:c r="L59" s="61" t="str">
        <x:v>Crossref IEEE member record; detailed relevance not yet assessed.</x:v>
      </x:c>
    </x:row>
    <x:row r="60">
      <x:c r="A60" s="61" t="str">
        <x:v>Research on Robot Battery State of Health Prediction Based on CNN-TCN Model</x:v>
      </x:c>
      <x:c r="B60" s="61" t="str">
        <x:v>Xiaodie Wu; Wei Lv; Zihui Lin; Jun Huang; Min Yang</x:v>
      </x:c>
      <x:c r="C60" s="61" t="str">
        <x:v>2025-08-22</x:v>
      </x:c>
      <x:c r="D60" s="61" t="str">
        <x:v>2025 3rd International Conference on Power, Grid and Energy Storage</x:v>
      </x:c>
      <x:c r="E60" s="61" t="str">
        <x:v>proceedings-article</x:v>
      </x:c>
      <x:c r="F60" s="61" t="str">
        <x:v>10.1109/pges66344.2025.11193494</x:v>
      </x:c>
      <x:c r="G60" s="61" t="str">
        <x:v>https://doi.org/10.1109/pges66344.2025.11193494</x:v>
      </x:c>
      <x:c r="H60" s="61" t="str">
        <x:v>https://ieeexplore.ieee.org/search/searchresult.jsp?queryText=Research%20on%20Robot%20Battery%20State%20of%20Health%20Prediction%20Based%20on%20CNN-TCN%20Model</x:v>
      </x:c>
      <x:c r="I60" s="61" t="str">
        <x:v>True</x:v>
      </x:c>
      <x:c r="J60" s="61" t="str">
        <x:v>False</x:v>
      </x:c>
      <x:c r="K60" s="61" t="str">
        <x:v>title_abstract_candidate</x:v>
      </x:c>
      <x:c r="L60" s="61" t="str">
        <x:v>Crossref IEEE member record; detailed relevance not yet assessed.</x:v>
      </x:c>
    </x:row>
    <x:row r="61">
      <x:c r="A61" s="61" t="str">
        <x:v>Battery State of Health Prediction for Portable Intelligent Medical Devices Based on GRU-Attention</x:v>
      </x:c>
      <x:c r="B61" s="61" t="str">
        <x:v>Xiaodie Wu; Zihui Lin; Min Yang; Hongru Zhang</x:v>
      </x:c>
      <x:c r="C61" s="61" t="str">
        <x:v>2025-08-29</x:v>
      </x:c>
      <x:c r="D61" s="61" t="str">
        <x:v>2025 11th International Conference on Energy Materials and Electrical Engineering (ICEMEE)</x:v>
      </x:c>
      <x:c r="E61" s="61" t="str">
        <x:v>proceedings-article</x:v>
      </x:c>
      <x:c r="F61" s="61" t="str">
        <x:v>10.1109/icemee66610.2025.11276571</x:v>
      </x:c>
      <x:c r="G61" s="61" t="str">
        <x:v>https://doi.org/10.1109/icemee66610.2025.11276571</x:v>
      </x:c>
      <x:c r="H61" s="61" t="str">
        <x:v>https://ieeexplore.ieee.org/search/searchresult.jsp?queryText=Battery%20State%20of%20Health%20Prediction%20for%20Portable%20Intelligent%20Medical%20Devices%20Based%20on%20GRU-Attention</x:v>
      </x:c>
      <x:c r="I61" s="61" t="str">
        <x:v>True</x:v>
      </x:c>
      <x:c r="J61" s="61" t="str">
        <x:v>False</x:v>
      </x:c>
      <x:c r="K61" s="61" t="str">
        <x:v>title_abstract_candidate</x:v>
      </x:c>
      <x:c r="L61" s="61" t="str">
        <x:v>Crossref IEEE member record; detailed relevance not yet assessed.</x:v>
      </x:c>
    </x:row>
    <x:row r="62">
      <x:c r="A62" s="61" t="str">
        <x:v>Physics-Informed Adaptive Attention Mechanism for Multi-Type Battery Health State Prediction</x:v>
      </x:c>
      <x:c r="B62" s="61" t="str">
        <x:v>Xudong Liu</x:v>
      </x:c>
      <x:c r="C62" s="61" t="str">
        <x:v>2025-08-29</x:v>
      </x:c>
      <x:c r="D62" s="61" t="str">
        <x:v>2025 IEEE Madhya Pradesh Section Conference (MPCON)</x:v>
      </x:c>
      <x:c r="E62" s="61" t="str">
        <x:v>proceedings-article</x:v>
      </x:c>
      <x:c r="F62" s="61" t="str">
        <x:v>10.1109/mpcon66082.2025.11256562</x:v>
      </x:c>
      <x:c r="G62" s="61" t="str">
        <x:v>https://doi.org/10.1109/mpcon66082.2025.11256562</x:v>
      </x:c>
      <x:c r="H62" s="61" t="str">
        <x:v>https://ieeexplore.ieee.org/search/searchresult.jsp?queryText=Physics-Informed%20Adaptive%20Attention%20Mechanism%20for%20Multi-Type%20Battery%20Health%20State%20Prediction</x:v>
      </x:c>
      <x:c r="I62" s="61" t="str">
        <x:v>True</x:v>
      </x:c>
      <x:c r="J62" s="61" t="str">
        <x:v>False</x:v>
      </x:c>
      <x:c r="K62" s="61" t="str">
        <x:v>title_abstract_candidate</x:v>
      </x:c>
      <x:c r="L62" s="61" t="str">
        <x:v>Crossref IEEE member record; detailed relevance not yet assessed.</x:v>
      </x:c>
    </x:row>
    <x:row r="63">
      <x:c r="A63" s="61" t="str">
        <x:v>A Lightweight Transformer-LSTM Method for Long-Sequence Battery State-of-Health Estimation</x:v>
      </x:c>
      <x:c r="B63" s="61" t="str">
        <x:v>Yue Yin; Yuchao Liu; Lu Xing; Jing Jiang; Yihan Huang; Haimeng Wu</x:v>
      </x:c>
      <x:c r="C63" s="61" t="str">
        <x:v>2025-09-01</x:v>
      </x:c>
      <x:c r="D63" s="61" t="str">
        <x:v>2025 Energy Conversion Congress &amp;amp;amp; Expo Europe (ECCE Europe)</x:v>
      </x:c>
      <x:c r="E63" s="61" t="str">
        <x:v>proceedings-article</x:v>
      </x:c>
      <x:c r="F63" s="61" t="str">
        <x:v>10.1109/ecce-europe62795.2025.11238603</x:v>
      </x:c>
      <x:c r="G63" s="61" t="str">
        <x:v>https://doi.org/10.1109/ecce-europe62795.2025.11238603</x:v>
      </x:c>
      <x:c r="H63" s="61" t="str">
        <x:v>https://ieeexplore.ieee.org/search/searchresult.jsp?queryText=A%20Lightweight%20Transformer-LSTM%20Method%20for%20Long-Sequence%20Battery%20State-of-Health%20Estimation</x:v>
      </x:c>
      <x:c r="I63" s="61" t="str">
        <x:v>True</x:v>
      </x:c>
      <x:c r="J63" s="61" t="str">
        <x:v>False</x:v>
      </x:c>
      <x:c r="K63" s="61" t="str">
        <x:v>title_abstract_candidate</x:v>
      </x:c>
      <x:c r="L63" s="61" t="str">
        <x:v>Crossref IEEE member record; detailed relevance not yet assessed.</x:v>
      </x:c>
    </x:row>
    <x:row r="64">
      <x:c r="A64" s="61" t="str">
        <x:v>Electric Vehicle Battery State of Health Estimation for Adaptive Warranty Extensions and Battery Certification</x:v>
      </x:c>
      <x:c r="B64" s="61" t="str">
        <x:v>Katarzyna Chyrowicz</x:v>
      </x:c>
      <x:c r="C64" s="61" t="str">
        <x:v>2025-09-09</x:v>
      </x:c>
      <x:c r="D64" s="61" t="str">
        <x:v>2025 IEEE 30th International Conference on Emerging Technologies and Factory Automation (ETFA)</x:v>
      </x:c>
      <x:c r="E64" s="61" t="str">
        <x:v>proceedings-article</x:v>
      </x:c>
      <x:c r="F64" s="61" t="str">
        <x:v>10.1109/etfa65518.2025.11205545</x:v>
      </x:c>
      <x:c r="G64" s="61" t="str">
        <x:v>https://doi.org/10.1109/etfa65518.2025.11205545</x:v>
      </x:c>
      <x:c r="H64" s="61" t="str">
        <x:v>https://ieeexplore.ieee.org/search/searchresult.jsp?queryText=Electric%20Vehicle%20Battery%20State%20of%20Health%20Estimation%20for%20Adaptive%20Warranty%20Extensions%20and%20Battery%20Certification</x:v>
      </x:c>
      <x:c r="I64" s="61" t="str">
        <x:v>True</x:v>
      </x:c>
      <x:c r="J64" s="61" t="str">
        <x:v>False</x:v>
      </x:c>
      <x:c r="K64" s="61" t="str">
        <x:v>title_abstract_candidate</x:v>
      </x:c>
      <x:c r="L64" s="61" t="str">
        <x:v>Crossref IEEE member record; detailed relevance not yet assessed.</x:v>
      </x:c>
    </x:row>
    <x:row r="65">
      <x:c r="A65" s="61" t="str">
        <x:v>State of Health Estimation of Vanadium Redox Flow Battery Based on Transformer-BiGRU Network</x:v>
      </x:c>
      <x:c r="B65" s="61" t="str">
        <x:v>Xifeng Lin; Haoji Liu; Xiaojie Liu; Hengshan Mao; Xiao Wang; Binyu Xiong</x:v>
      </x:c>
      <x:c r="C65" s="61" t="str">
        <x:v>2025-09-19</x:v>
      </x:c>
      <x:c r="D65" s="61" t="str">
        <x:v>2025 IEEE International Conference on Smart Power and Energy Technologies (SPET)</x:v>
      </x:c>
      <x:c r="E65" s="61" t="str">
        <x:v>proceedings-article</x:v>
      </x:c>
      <x:c r="F65" s="61" t="str">
        <x:v>10.1109/spet67577.2025.11335641</x:v>
      </x:c>
      <x:c r="G65" s="61" t="str">
        <x:v>https://doi.org/10.1109/spet67577.2025.11335641</x:v>
      </x:c>
      <x:c r="H65" s="61" t="str">
        <x:v>https://ieeexplore.ieee.org/search/searchresult.jsp?queryText=State%20of%20Health%20Estimation%20of%20Vanadium%20Redox%20Flow%20Battery%20Based%20on%20Transformer-BiGRU%20Network</x:v>
      </x:c>
      <x:c r="I65" s="61" t="str">
        <x:v>True</x:v>
      </x:c>
      <x:c r="J65" s="61" t="str">
        <x:v>False</x:v>
      </x:c>
      <x:c r="K65" s="61" t="str">
        <x:v>title_abstract_candidate</x:v>
      </x:c>
      <x:c r="L65" s="61" t="str">
        <x:v>Crossref IEEE member record; detailed relevance not yet assessed.</x:v>
      </x:c>
    </x:row>
    <x:row r="66">
      <x:c r="A66" s="61" t="str">
        <x:v>Battery State-of-Health Prediction Using XGBoost Tuned by Modified Metaheuristics</x:v>
      </x:c>
      <x:c r="B66" s="61" t="str">
        <x:v>Dejan Bulaja; Nebojsa Bacanin; Ruxandra Stoean; Branislav Radomirovic; Vico Zeljkovic; Miroslav Cajic; Luka Jovanovic</x:v>
      </x:c>
      <x:c r="C66" s="61" t="str">
        <x:v>2025-09-22</x:v>
      </x:c>
      <x:c r="D66" s="61" t="str">
        <x:v>2025 27th International Symposium on Symbolic and Numeric Algorithms for Scientific Computing (SYNASC)</x:v>
      </x:c>
      <x:c r="E66" s="61" t="str">
        <x:v>proceedings-article</x:v>
      </x:c>
      <x:c r="F66" s="61" t="str">
        <x:v>10.1109/synasc69064.2025.00063</x:v>
      </x:c>
      <x:c r="G66" s="61" t="str">
        <x:v>https://doi.org/10.1109/synasc69064.2025.00063</x:v>
      </x:c>
      <x:c r="H66" s="61" t="str">
        <x:v>https://ieeexplore.ieee.org/search/searchresult.jsp?queryText=Battery%20State-of-Health%20Prediction%20Using%20XGBoost%20Tuned%20by%20Modified%20Metaheuristics</x:v>
      </x:c>
      <x:c r="I66" s="61" t="str">
        <x:v>True</x:v>
      </x:c>
      <x:c r="J66" s="61" t="str">
        <x:v>False</x:v>
      </x:c>
      <x:c r="K66" s="61" t="str">
        <x:v>title_abstract_candidate</x:v>
      </x:c>
      <x:c r="L66" s="61" t="str">
        <x:v>Crossref IEEE member record; detailed relevance not yet assessed.</x:v>
      </x:c>
    </x:row>
    <x:row r="67">
      <x:c r="A67" s="61" t="str">
        <x:v>Lithium-Ion Battery State of Health Estimation Using Puma-Optimized Random Forest</x:v>
      </x:c>
      <x:c r="B67" s="61" t="str">
        <x:v>Hanjin Zheng; Yibo Fu; Pin Liu; Yihuan Li</x:v>
      </x:c>
      <x:c r="C67" s="61" t="str">
        <x:v>2025-09-22</x:v>
      </x:c>
      <x:c r="D67" s="61" t="str">
        <x:v>2025 IEEE 4th International Conference on Industrial Electronics for Sustainable Energy Systems (IESES)</x:v>
      </x:c>
      <x:c r="E67" s="61" t="str">
        <x:v>proceedings-article</x:v>
      </x:c>
      <x:c r="F67" s="61" t="str">
        <x:v>10.1109/ieses66335.2025.11359842</x:v>
      </x:c>
      <x:c r="G67" s="61" t="str">
        <x:v>https://doi.org/10.1109/ieses66335.2025.11359842</x:v>
      </x:c>
      <x:c r="H67" s="61" t="str">
        <x:v>https://ieeexplore.ieee.org/search/searchresult.jsp?queryText=Lithium-Ion%20Battery%20State%20of%20Health%20Estimation%20Using%20Puma-Optimized%20Random%20Forest</x:v>
      </x:c>
      <x:c r="I67" s="61" t="str">
        <x:v>True</x:v>
      </x:c>
      <x:c r="J67" s="61" t="str">
        <x:v>False</x:v>
      </x:c>
      <x:c r="K67" s="61" t="str">
        <x:v>title_abstract_candidate</x:v>
      </x:c>
      <x:c r="L67" s="61" t="str">
        <x:v>Crossref IEEE member record; detailed relevance not yet assessed.</x:v>
      </x:c>
    </x:row>
    <x:row r="68">
      <x:c r="A68" s="61" t="str">
        <x:v>Multi-Scale Dual-Channel Transformer for Battery Health State Estimation</x:v>
      </x:c>
      <x:c r="B68" s="61" t="str">
        <x:v>Zhicheng Jiang; Mengyang Pu; Yihuan Li; Hua Wu; Jing Teng; Ruifeng Shi</x:v>
      </x:c>
      <x:c r="C68" s="61" t="str">
        <x:v>2025-09-22</x:v>
      </x:c>
      <x:c r="D68" s="61" t="str">
        <x:v>2025 IEEE 4th International Conference on Industrial Electronics for Sustainable Energy Systems (IESES)</x:v>
      </x:c>
      <x:c r="E68" s="61" t="str">
        <x:v>proceedings-article</x:v>
      </x:c>
      <x:c r="F68" s="61" t="str">
        <x:v>10.1109/ieses66335.2025.11359874</x:v>
      </x:c>
      <x:c r="G68" s="61" t="str">
        <x:v>https://doi.org/10.1109/ieses66335.2025.11359874</x:v>
      </x:c>
      <x:c r="H68" s="61" t="str">
        <x:v>https://ieeexplore.ieee.org/search/searchresult.jsp?queryText=Multi-Scale%20Dual-Channel%20Transformer%20for%20Battery%20Health%20State%20Estimation</x:v>
      </x:c>
      <x:c r="I68" s="61" t="str">
        <x:v>True</x:v>
      </x:c>
      <x:c r="J68" s="61" t="str">
        <x:v>False</x:v>
      </x:c>
      <x:c r="K68" s="61" t="str">
        <x:v>title_abstract_candidate</x:v>
      </x:c>
      <x:c r="L68" s="61" t="str">
        <x:v>Crossref IEEE member record; detailed relevance not yet assessed.</x:v>
      </x:c>
    </x:row>
    <x:row r="69">
      <x:c r="A69" s="61" t="str">
        <x:v>Lithium-Ion battery state of health estimation enhanced with faults indicator</x:v>
      </x:c>
      <x:c r="B69" s="61" t="str">
        <x:v>Efstathios Fiorentis; Bogdan-Adrian Enache</x:v>
      </x:c>
      <x:c r="C69" s="61" t="str">
        <x:v>2025-09-24</x:v>
      </x:c>
      <x:c r="D69" s="61" t="str">
        <x:v>2025 IEEE 15th International Workshop on Applied Measurements for Power Systems (AMPS)</x:v>
      </x:c>
      <x:c r="E69" s="61" t="str">
        <x:v>proceedings-article</x:v>
      </x:c>
      <x:c r="F69" s="61" t="str">
        <x:v>10.1109/amps66841.2025.11219910</x:v>
      </x:c>
      <x:c r="G69" s="61" t="str">
        <x:v>https://doi.org/10.1109/amps66841.2025.11219910</x:v>
      </x:c>
      <x:c r="H69" s="61" t="str">
        <x:v>https://ieeexplore.ieee.org/search/searchresult.jsp?queryText=Lithium-Ion%20battery%20state%20of%20health%20estimation%20enhanced%20with%20faults%20indicator</x:v>
      </x:c>
      <x:c r="I69" s="61" t="str">
        <x:v>True</x:v>
      </x:c>
      <x:c r="J69" s="61" t="str">
        <x:v>False</x:v>
      </x:c>
      <x:c r="K69" s="61" t="str">
        <x:v>title_abstract_candidate</x:v>
      </x:c>
      <x:c r="L69" s="61" t="str">
        <x:v>Crossref IEEE member record; detailed relevance not yet assessed.</x:v>
      </x:c>
    </x:row>
    <x:row r="70">
      <x:c r="A70" s="61" t="str">
        <x:v>Deep Reinforcement Learning-Aided State-of-Health and State-of-Charge Management of Battery Energy Storage Systems</x:v>
      </x:c>
      <x:c r="B70" s="61" t="str">
        <x:v>Gaowen Liang; Enrique Nunes; Ezequiel Rodriguez; Yu Zeng; Hein Wai Yan; Josep Pou</x:v>
      </x:c>
      <x:c r="C70" s="61" t="str">
        <x:v>2025-10-14</x:v>
      </x:c>
      <x:c r="D70" s="61" t="str">
        <x:v>IECON 2025 – 51st Annual Conference of the IEEE Industrial Electronics Society</x:v>
      </x:c>
      <x:c r="E70" s="61" t="str">
        <x:v>proceedings-article</x:v>
      </x:c>
      <x:c r="F70" s="61" t="str">
        <x:v>10.1109/iecon58223.2025.11220987</x:v>
      </x:c>
      <x:c r="G70" s="61" t="str">
        <x:v>https://doi.org/10.1109/iecon58223.2025.11220987</x:v>
      </x:c>
      <x:c r="H70" s="61" t="str">
        <x:v>https://ieeexplore.ieee.org/search/searchresult.jsp?queryText=Deep%20Reinforcement%20Learning-Aided%20State-of-Health%20and%20State-of-Charge%20Management%20of%20Battery%20Energy%20Storage%20Systems</x:v>
      </x:c>
      <x:c r="I70" s="61" t="str">
        <x:v>True</x:v>
      </x:c>
      <x:c r="J70" s="61" t="str">
        <x:v>False</x:v>
      </x:c>
      <x:c r="K70" s="61" t="str">
        <x:v>title_abstract_candidate</x:v>
      </x:c>
      <x:c r="L70" s="61" t="str">
        <x:v>Crossref IEEE member record; detailed relevance not yet assessed.</x:v>
      </x:c>
    </x:row>
    <x:row r="71">
      <x:c r="A71" s="61" t="str">
        <x:v>Lithium-Ion Battery State-of-Health Prediction Based on FLAT Transformer and Mutual Distillation</x:v>
      </x:c>
      <x:c r="B71" s="61" t="str">
        <x:v>ZhiYi Geng; XiaoXin Wu; YiWeng Qian; Dian Jin</x:v>
      </x:c>
      <x:c r="C71" s="61" t="str">
        <x:v>2025-10-17</x:v>
      </x:c>
      <x:c r="D71" s="61" t="str">
        <x:v>2025 9th International Conference on Electrical, Mechanical and Computer Engineering (ICEMCE)</x:v>
      </x:c>
      <x:c r="E71" s="61" t="str">
        <x:v>proceedings-article</x:v>
      </x:c>
      <x:c r="F71" s="61" t="str">
        <x:v>10.1109/icemce68156.2025.11467064</x:v>
      </x:c>
      <x:c r="G71" s="61" t="str">
        <x:v>https://doi.org/10.1109/icemce68156.2025.11467064</x:v>
      </x:c>
      <x:c r="H71" s="61" t="str">
        <x:v>https://ieeexplore.ieee.org/search/searchresult.jsp?queryText=Lithium-Ion%20Battery%20State-of-Health%20Prediction%20Based%20on%20FLAT%20Transformer%20and%20Mutual%20Distillation</x:v>
      </x:c>
      <x:c r="I71" s="61" t="str">
        <x:v>True</x:v>
      </x:c>
      <x:c r="J71" s="61" t="str">
        <x:v>False</x:v>
      </x:c>
      <x:c r="K71" s="61" t="str">
        <x:v>title_abstract_candidate</x:v>
      </x:c>
      <x:c r="L71" s="61" t="str">
        <x:v>Crossref IEEE member record; detailed relevance not yet assessed.</x:v>
      </x:c>
    </x:row>
    <x:row r="72">
      <x:c r="A72" s="61" t="str">
        <x:v>Hierarchical Real-Time Battery State-of-Health and State-of-Charge Estimator</x:v>
      </x:c>
      <x:c r="B72" s="61" t="str">
        <x:v>Kandler Smith; Shuofeng Zhao; Corey Randall; Juan Sun; Shivanshu Shekhar</x:v>
      </x:c>
      <x:c r="C72" s="61" t="str">
        <x:v>2025-10-19</x:v>
      </x:c>
      <x:c r="D72" s="61" t="str">
        <x:v>2025 IEEE Energy Conversion Conference Congress and Exposition (ECCE)</x:v>
      </x:c>
      <x:c r="E72" s="61" t="str">
        <x:v>proceedings-article</x:v>
      </x:c>
      <x:c r="F72" s="61" t="str">
        <x:v>10.1109/ecce58356.2025.11259931</x:v>
      </x:c>
      <x:c r="G72" s="61" t="str">
        <x:v>https://doi.org/10.1109/ecce58356.2025.11259931</x:v>
      </x:c>
      <x:c r="H72" s="61" t="str">
        <x:v>https://ieeexplore.ieee.org/search/searchresult.jsp?queryText=Hierarchical%20Real-Time%20Battery%20State-of-Health%20and%20State-of-Charge%20Estimator</x:v>
      </x:c>
      <x:c r="I72" s="61" t="str">
        <x:v>True</x:v>
      </x:c>
      <x:c r="J72" s="61" t="str">
        <x:v>False</x:v>
      </x:c>
      <x:c r="K72" s="61" t="str">
        <x:v>title_abstract_candidate</x:v>
      </x:c>
      <x:c r="L72" s="61" t="str">
        <x:v>Crossref IEEE member record; detailed relevance not yet assessed.</x:v>
      </x:c>
    </x:row>
    <x:row r="73">
      <x:c r="A73" s="61" t="str">
        <x:v>Impact of Battery Resistance on EV Energy Consumption at Various State of Health</x:v>
      </x:c>
      <x:c r="B73" s="61" t="str">
        <x:v>M. Chaud; R. German; M. Gaetani-Liseo; E. Hittinger; A. Bouscayrol</x:v>
      </x:c>
      <x:c r="C73" s="61" t="str">
        <x:v>2025-10-22</x:v>
      </x:c>
      <x:c r="D73" s="61" t="str">
        <x:v>2025 IEEE Vehicle Power and Propulsion Conference (VPPC)</x:v>
      </x:c>
      <x:c r="E73" s="61" t="str">
        <x:v>proceedings-article</x:v>
      </x:c>
      <x:c r="F73" s="61" t="str">
        <x:v>10.1109/vppc66000.2025.11392927</x:v>
      </x:c>
      <x:c r="G73" s="61" t="str">
        <x:v>https://doi.org/10.1109/vppc66000.2025.11392927</x:v>
      </x:c>
      <x:c r="H73" s="61" t="str">
        <x:v>https://ieeexplore.ieee.org/search/searchresult.jsp?queryText=Impact%20of%20Battery%20Resistance%20on%20EV%20Energy%20Consumption%20at%20Various%20State%20of%20Health</x:v>
      </x:c>
      <x:c r="I73" s="61" t="str">
        <x:v>True</x:v>
      </x:c>
      <x:c r="J73" s="61" t="str">
        <x:v>False</x:v>
      </x:c>
      <x:c r="K73" s="61" t="str">
        <x:v>title_abstract_candidate</x:v>
      </x:c>
      <x:c r="L73" s="61" t="str">
        <x:v>Crossref IEEE member record; detailed relevance not yet assessed.</x:v>
      </x:c>
    </x:row>
    <x:row r="74">
      <x:c r="A74" s="61" t="str">
        <x:v>A Transformer-Based Asynchronous Processing Network for Lithium-Ion Battery State of Health Estimation</x:v>
      </x:c>
      <x:c r="B74" s="61" t="str">
        <x:v>Wei Zhang; Jianmao Ye; Zhaoan Ruan; Haoran Ye; Wanhuan Wang</x:v>
      </x:c>
      <x:c r="C74" s="61" t="str">
        <x:v>2025-10-24</x:v>
      </x:c>
      <x:c r="D74" s="61" t="str">
        <x:v>2025 5th International Conference on Intelligent Power and Systems (ICIPS)</x:v>
      </x:c>
      <x:c r="E74" s="61" t="str">
        <x:v>proceedings-article</x:v>
      </x:c>
      <x:c r="F74" s="61" t="str">
        <x:v>10.1109/icips67876.2025.11331771</x:v>
      </x:c>
      <x:c r="G74" s="61" t="str">
        <x:v>https://doi.org/10.1109/icips67876.2025.11331771</x:v>
      </x:c>
      <x:c r="H74" s="61" t="str">
        <x:v>https://ieeexplore.ieee.org/search/searchresult.jsp?queryText=A%20Transformer-Based%20Asynchronous%20Processing%20Network%20for%20Lithium-Ion%20Battery%20State%20of%20Health%20Estimation</x:v>
      </x:c>
      <x:c r="I74" s="61" t="str">
        <x:v>True</x:v>
      </x:c>
      <x:c r="J74" s="61" t="str">
        <x:v>False</x:v>
      </x:c>
      <x:c r="K74" s="61" t="str">
        <x:v>title_abstract_candidate</x:v>
      </x:c>
      <x:c r="L74" s="61" t="str">
        <x:v>Crossref IEEE member record; detailed relevance not yet assessed.</x:v>
      </x:c>
    </x:row>
    <x:row r="75">
      <x:c r="A75" s="61" t="str">
        <x:v>Unlocking Battery Health: Real-Time State of Health Estimation Using Deep Learning on Partial Charging Data Segments</x:v>
      </x:c>
      <x:c r="B75" s="61" t="str">
        <x:v>Hasanur Zaman Anonto; Md Ismail Hossain; Isha Das; Afrin Tanzila Rabbani; Samiul Ahasan Sajid; Md Aktar Hossain; Minul Khan Rahat; Abu Shufian</x:v>
      </x:c>
      <x:c r="C75" s="61" t="str">
        <x:v>2025-10-27</x:v>
      </x:c>
      <x:c r="D75" s="61" t="str">
        <x:v>TENCON 2025 - 2025 IEEE Region 10 Conference (TENCON)</x:v>
      </x:c>
      <x:c r="E75" s="61" t="str">
        <x:v>proceedings-article</x:v>
      </x:c>
      <x:c r="F75" s="61" t="str">
        <x:v>10.1109/tencon66050.2025.11375065</x:v>
      </x:c>
      <x:c r="G75" s="61" t="str">
        <x:v>https://doi.org/10.1109/tencon66050.2025.11375065</x:v>
      </x:c>
      <x:c r="H75" s="61" t="str">
        <x:v>https://ieeexplore.ieee.org/search/searchresult.jsp?queryText=Unlocking%20Battery%20Health%3A%20Real-Time%20State%20of%20Health%20Estimation%20Using%20Deep%20Learning%20on%20Partial%20Charging%20Data%20Segments</x:v>
      </x:c>
      <x:c r="I75" s="61" t="str">
        <x:v>True</x:v>
      </x:c>
      <x:c r="J75" s="61" t="str">
        <x:v>False</x:v>
      </x:c>
      <x:c r="K75" s="61" t="str">
        <x:v>title_abstract_candidate</x:v>
      </x:c>
      <x:c r="L75" s="61" t="str">
        <x:v>Crossref IEEE member record; detailed relevance not yet assessed.</x:v>
      </x:c>
    </x:row>
    <x:row r="76">
      <x:c r="A76" s="61" t="str">
        <x:v>Predictive Intelligence for Battery State-of-Health: A Machine Learning Approach to Energy Reliability</x:v>
      </x:c>
      <x:c r="B76" s="61" t="str">
        <x:v>S. Gomathi</x:v>
      </x:c>
      <x:c r="C76" s="61" t="str">
        <x:v>2025-10-28</x:v>
      </x:c>
      <x:c r="D76" s="61" t="str">
        <x:v>2025 10th International Conference on Communication and Electronics Systems (ICCES)</x:v>
      </x:c>
      <x:c r="E76" s="61" t="str">
        <x:v>proceedings-article</x:v>
      </x:c>
      <x:c r="F76" s="61" t="str">
        <x:v>10.1109/icces67310.2025.11336954</x:v>
      </x:c>
      <x:c r="G76" s="61" t="str">
        <x:v>https://doi.org/10.1109/icces67310.2025.11336954</x:v>
      </x:c>
      <x:c r="H76" s="61" t="str">
        <x:v>https://ieeexplore.ieee.org/search/searchresult.jsp?queryText=Predictive%20Intelligence%20for%20Battery%20State-of-Health%3A%20A%20Machine%20Learning%20Approach%20to%20Energy%20Reliability</x:v>
      </x:c>
      <x:c r="I76" s="61" t="str">
        <x:v>True</x:v>
      </x:c>
      <x:c r="J76" s="61" t="str">
        <x:v>False</x:v>
      </x:c>
      <x:c r="K76" s="61" t="str">
        <x:v>title_abstract_candidate</x:v>
      </x:c>
      <x:c r="L76" s="61" t="str">
        <x:v>Crossref IEEE member record; detailed relevance not yet assessed.</x:v>
      </x:c>
    </x:row>
    <x:row r="77">
      <x:c r="A77" s="61" t="str">
        <x:v>Hybrid BiLSTM-RF Framework for Lithium-Ion Battery State of Health and RUL Prediction</x:v>
      </x:c>
      <x:c r="B77" s="61" t="str">
        <x:v>Irene Lu; Kaiwen Zhao; Emily Liu; Mandy Hung; Richard Song; Chris Lin; Andrew Cha; Yingying Zou; Linda Shi</x:v>
      </x:c>
      <x:c r="C77" s="61" t="str">
        <x:v>2025-11-12</x:v>
      </x:c>
      <x:c r="D77" s="61" t="str">
        <x:v>2025 IEEE International Conference on Data Mining Workshops (ICDMW)</x:v>
      </x:c>
      <x:c r="E77" s="61" t="str">
        <x:v>proceedings-article</x:v>
      </x:c>
      <x:c r="F77" s="61" t="str">
        <x:v>10.1109/icdmw69685.2025.00413</x:v>
      </x:c>
      <x:c r="G77" s="61" t="str">
        <x:v>https://doi.org/10.1109/icdmw69685.2025.00413</x:v>
      </x:c>
      <x:c r="H77" s="61" t="str">
        <x:v>https://ieeexplore.ieee.org/search/searchresult.jsp?queryText=Hybrid%20BiLSTM-RF%20Framework%20for%20Lithium-Ion%20Battery%20State%20of%20Health%20and%20RUL%20Prediction</x:v>
      </x:c>
      <x:c r="I77" s="61" t="str">
        <x:v>True</x:v>
      </x:c>
      <x:c r="J77" s="61" t="str">
        <x:v>False</x:v>
      </x:c>
      <x:c r="K77" s="61" t="str">
        <x:v>title_abstract_candidate</x:v>
      </x:c>
      <x:c r="L77" s="61" t="str">
        <x:v>Crossref IEEE member record; detailed relevance not yet assessed.</x:v>
      </x:c>
    </x:row>
    <x:row r="78">
      <x:c r="A78" s="61" t="str">
        <x:v>Battery State of Health (SoH) Estimation using LSTM-Based Deep Learning</x:v>
      </x:c>
      <x:c r="B78" s="61" t="str">
        <x:v>Oh Sing Ee Jenna; Feng Fred Wei; Cai Zhi Qiang; D Yang Eng</x:v>
      </x:c>
      <x:c r="C78" s="61" t="str">
        <x:v>2025-11-13</x:v>
      </x:c>
      <x:c r="D78" s="61" t="str">
        <x:v>2025 3rd Power Electronics and Power System Conference (PEPSC)</x:v>
      </x:c>
      <x:c r="E78" s="61" t="str">
        <x:v>proceedings-article</x:v>
      </x:c>
      <x:c r="F78" s="61" t="str">
        <x:v>10.1109/pepsc67251.2025.11453323</x:v>
      </x:c>
      <x:c r="G78" s="61" t="str">
        <x:v>https://doi.org/10.1109/pepsc67251.2025.11453323</x:v>
      </x:c>
      <x:c r="H78" s="61" t="str">
        <x:v>https://ieeexplore.ieee.org/search/searchresult.jsp?queryText=Battery%20State%20of%20Health%20%28SoH%29%20Estimation%20using%20LSTM-Based%20Deep%20Learning</x:v>
      </x:c>
      <x:c r="I78" s="61" t="str">
        <x:v>True</x:v>
      </x:c>
      <x:c r="J78" s="61" t="str">
        <x:v>False</x:v>
      </x:c>
      <x:c r="K78" s="61" t="str">
        <x:v>title_abstract_candidate</x:v>
      </x:c>
      <x:c r="L78" s="61" t="str">
        <x:v>Crossref IEEE member record; detailed relevance not yet assessed.</x:v>
      </x:c>
    </x:row>
    <x:row r="79">
      <x:c r="A79" s="61" t="str">
        <x:v>Evaluating Data-Driven Methods for Battery State of Health Estimation: A Comparative Case Study</x:v>
      </x:c>
      <x:c r="B79" s="61" t="str">
        <x:v>Ke Xu; Kai Kang; Huadong Mo</x:v>
      </x:c>
      <x:c r="C79" s="61" t="str">
        <x:v>2025-11-20</x:v>
      </x:c>
      <x:c r="D79" s="61" t="str">
        <x:v>2025 7th International Conference on System Reliability and Safety Engineering (SRSE)</x:v>
      </x:c>
      <x:c r="E79" s="61" t="str">
        <x:v>proceedings-article</x:v>
      </x:c>
      <x:c r="F79" s="61" t="str">
        <x:v>10.1109/srse67406.2025.11357339</x:v>
      </x:c>
      <x:c r="G79" s="61" t="str">
        <x:v>https://doi.org/10.1109/srse67406.2025.11357339</x:v>
      </x:c>
      <x:c r="H79" s="61" t="str">
        <x:v>https://ieeexplore.ieee.org/search/searchresult.jsp?queryText=Evaluating%20Data-Driven%20Methods%20for%20Battery%20State%20of%20Health%20Estimation%3A%20A%20Comparative%20Case%20Study</x:v>
      </x:c>
      <x:c r="I79" s="61" t="str">
        <x:v>True</x:v>
      </x:c>
      <x:c r="J79" s="61" t="str">
        <x:v>False</x:v>
      </x:c>
      <x:c r="K79" s="61" t="str">
        <x:v>title_abstract_candidate</x:v>
      </x:c>
      <x:c r="L79" s="61" t="str">
        <x:v>Crossref IEEE member record; detailed relevance not yet assessed.</x:v>
      </x:c>
    </x:row>
    <x:row r="80">
      <x:c r="A80" s="61" t="str">
        <x:v>A Semi-Supervised Belief Rule Base Model for Lithium-Ion Battery Health State Assessment</x:v>
      </x:c>
      <x:c r="B80" s="61" t="str">
        <x:v>Qian Deng; Wenlong Li</x:v>
      </x:c>
      <x:c r="C80" s="61" t="str">
        <x:v>2025-11-25</x:v>
      </x:c>
      <x:c r="D80" s="61" t="str">
        <x:v>2025 IEEE Transportation Electrification Conference and Expo, Asia-Pacific (ITEC Asia-Pacific)</x:v>
      </x:c>
      <x:c r="E80" s="61" t="str">
        <x:v>proceedings-article</x:v>
      </x:c>
      <x:c r="F80" s="61" t="str">
        <x:v>10.1109/itecasia-pacific63742.2025.11344900</x:v>
      </x:c>
      <x:c r="G80" s="61" t="str">
        <x:v>https://doi.org/10.1109/itecasia-pacific63742.2025.11344900</x:v>
      </x:c>
      <x:c r="H80" s="61" t="str">
        <x:v>https://ieeexplore.ieee.org/search/searchresult.jsp?queryText=A%20Semi-Supervised%20Belief%20Rule%20Base%20Model%20for%20Lithium-Ion%20Battery%20Health%20State%20Assessment</x:v>
      </x:c>
      <x:c r="I80" s="61" t="str">
        <x:v>True</x:v>
      </x:c>
      <x:c r="J80" s="61" t="str">
        <x:v>False</x:v>
      </x:c>
      <x:c r="K80" s="61" t="str">
        <x:v>title_abstract_candidate</x:v>
      </x:c>
      <x:c r="L80" s="61" t="str">
        <x:v>Crossref IEEE member record; detailed relevance not yet assessed.</x:v>
      </x:c>
    </x:row>
    <x:row r="81">
      <x:c r="A81" s="61" t="str">
        <x:v>A Data-Driven–Expert Hybrid Model for Real-Time Battery State of Health Diagnostics</x:v>
      </x:c>
      <x:c r="B81" s="61" t="str">
        <x:v>Ibrahim Zafar; Chodagam Srinivas; Regadi Madhurima; Kenchappa Gari Yogananda; Tanguturi Mohammad Sadiq; Gopireddy Sindhusree</x:v>
      </x:c>
      <x:c r="C81" s="61" t="str">
        <x:v>2025-12-05</x:v>
      </x:c>
      <x:c r="D81" s="61" t="str">
        <x:v>2025 IEEE 1st International Conference on Recent Trends in Computing and Smart Mobility (RCSM)</x:v>
      </x:c>
      <x:c r="E81" s="61" t="str">
        <x:v>proceedings-article</x:v>
      </x:c>
      <x:c r="F81" s="61" t="str">
        <x:v>10.1109/rcsm67767.2025.11506726</x:v>
      </x:c>
      <x:c r="G81" s="61" t="str">
        <x:v>https://doi.org/10.1109/rcsm67767.2025.11506726</x:v>
      </x:c>
      <x:c r="H81" s="61" t="str">
        <x:v>https://ieeexplore.ieee.org/search/searchresult.jsp?queryText=A%20Data-Driven%E2%80%93Expert%20Hybrid%20Model%20for%20Real-Time%20Battery%20State%20of%20Health%20Diagnostics</x:v>
      </x:c>
      <x:c r="I81" s="61" t="str">
        <x:v>True</x:v>
      </x:c>
      <x:c r="J81" s="61" t="str">
        <x:v>False</x:v>
      </x:c>
      <x:c r="K81" s="61" t="str">
        <x:v>title_abstract_candidate</x:v>
      </x:c>
      <x:c r="L81" s="61" t="str">
        <x:v>Crossref IEEE member record; detailed relevance not yet assessed.</x:v>
      </x:c>
    </x:row>
    <x:row r="82">
      <x:c r="A82" s="61" t="str">
        <x:v>Reused Lead-Acid Battery State of Health Monitoring through Multisine Spectroscopy</x:v>
      </x:c>
      <x:c r="B82" s="61" t="str">
        <x:v>Kim Long Tran; Minh Trieu Huynh; Quoc Dung Phan; Pascal Maussion</x:v>
      </x:c>
      <x:c r="C82" s="61" t="str">
        <x:v>2025-12-10</x:v>
      </x:c>
      <x:c r="D82" s="61" t="str">
        <x:v>2025 IEEE AFRICON</x:v>
      </x:c>
      <x:c r="E82" s="61" t="str">
        <x:v>proceedings-article</x:v>
      </x:c>
      <x:c r="F82" s="61" t="str">
        <x:v>10.1109/africon66545.2025.11533793</x:v>
      </x:c>
      <x:c r="G82" s="61" t="str">
        <x:v>https://doi.org/10.1109/africon66545.2025.11533793</x:v>
      </x:c>
      <x:c r="H82" s="61" t="str">
        <x:v>https://ieeexplore.ieee.org/search/searchresult.jsp?queryText=Reused%20Lead-Acid%20Battery%20State%20of%20Health%20Monitoring%20through%20Multisine%20Spectroscopy</x:v>
      </x:c>
      <x:c r="I82" s="61" t="str">
        <x:v>True</x:v>
      </x:c>
      <x:c r="J82" s="61" t="str">
        <x:v>False</x:v>
      </x:c>
      <x:c r="K82" s="61" t="str">
        <x:v>title_abstract_candidate</x:v>
      </x:c>
      <x:c r="L82" s="61" t="str">
        <x:v>Crossref IEEE member record; detailed relevance not yet assessed.</x:v>
      </x:c>
    </x:row>
    <x:row r="83">
      <x:c r="A83" s="61" t="str">
        <x:v>Uncertainty Quantification of Electrochemical Impedance Spectroscopy for Battery State of Health Estimation</x:v>
      </x:c>
      <x:c r="B83" s="61" t="str">
        <x:v>Prarthana Pillai; Banuselvasaraswathy Balasubramanian; Krishna R. Pattipati; Balakumar Balasingam</x:v>
      </x:c>
      <x:c r="C83" s="61" t="str">
        <x:v>2025-12-11</x:v>
      </x:c>
      <x:c r="D83" s="61" t="str">
        <x:v>2025 IEEE 4th Industrial Electronics Society Annual On-Line Conference (ONCON)</x:v>
      </x:c>
      <x:c r="E83" s="61" t="str">
        <x:v>proceedings-article</x:v>
      </x:c>
      <x:c r="F83" s="61" t="str">
        <x:v>10.1109/oncon68412.2025.11384166</x:v>
      </x:c>
      <x:c r="G83" s="61" t="str">
        <x:v>https://doi.org/10.1109/oncon68412.2025.11384166</x:v>
      </x:c>
      <x:c r="H83" s="61" t="str">
        <x:v>https://ieeexplore.ieee.org/search/searchresult.jsp?queryText=Uncertainty%20Quantification%20of%20Electrochemical%20Impedance%20Spectroscopy%20for%20Battery%20State%20of%20Health%20Estimation</x:v>
      </x:c>
      <x:c r="I83" s="61" t="str">
        <x:v>True</x:v>
      </x:c>
      <x:c r="J83" s="61" t="str">
        <x:v>False</x:v>
      </x:c>
      <x:c r="K83" s="61" t="str">
        <x:v>title_abstract_candidate</x:v>
      </x:c>
      <x:c r="L83" s="61" t="str">
        <x:v>Crossref IEEE member record; detailed relevance not yet assessed.</x:v>
      </x:c>
    </x:row>
    <x:row r="84">
      <x:c r="A84" s="61" t="str">
        <x:v>Estimation of Lithium-Ion Battery State of Health Based on IDBO-SVM Algorithm</x:v>
      </x:c>
      <x:c r="B84" s="61" t="str">
        <x:v>Shengran Chen; Tengteng Li; Bo Rao; Xiner Luo; Jinqiao Du; Zhaojie Liang; Jie Tian; Jiuchun Jiang</x:v>
      </x:c>
      <x:c r="C84" s="61" t="str">
        <x:v>2025-12-12</x:v>
      </x:c>
      <x:c r="D84" s="61" t="str">
        <x:v>2025 6th International Symposium on New Energy and Electrical Technology (ISNEET)</x:v>
      </x:c>
      <x:c r="E84" s="61" t="str">
        <x:v>proceedings-article</x:v>
      </x:c>
      <x:c r="F84" s="61" t="str">
        <x:v>10.1109/isneet68549.2025.11407419</x:v>
      </x:c>
      <x:c r="G84" s="61" t="str">
        <x:v>https://doi.org/10.1109/isneet68549.2025.11407419</x:v>
      </x:c>
      <x:c r="H84" s="61" t="str">
        <x:v>https://ieeexplore.ieee.org/search/searchresult.jsp?queryText=Estimation%20of%20Lithium-Ion%20Battery%20State%20of%20Health%20Based%20on%20IDBO-SVM%20Algorithm</x:v>
      </x:c>
      <x:c r="I84" s="61" t="str">
        <x:v>True</x:v>
      </x:c>
      <x:c r="J84" s="61" t="str">
        <x:v>False</x:v>
      </x:c>
      <x:c r="K84" s="61" t="str">
        <x:v>title_abstract_candidate</x:v>
      </x:c>
      <x:c r="L84" s="61" t="str">
        <x:v>Crossref IEEE member record; detailed relevance not yet assessed.</x:v>
      </x:c>
    </x:row>
    <x:row r="85">
      <x:c r="A85" s="61" t="str">
        <x:v>Multiphysics-Informed Adaptive Personalized Federated Learning for Battery State-of-Health Estimation</x:v>
      </x:c>
      <x:c r="B85" s="61" t="str">
        <x:v>Jiayin Xiao; Yujie Wang; Song Wang; Yin-Yi Soo; Zonghai Chen</x:v>
      </x:c>
      <x:c r="C85" s="61" t="str">
        <x:v>2026</x:v>
      </x:c>
      <x:c r="D85" s="61" t="str">
        <x:v>IEEE Transactions on Industrial Electronics</x:v>
      </x:c>
      <x:c r="E85" s="61" t="str">
        <x:v>journal-article</x:v>
      </x:c>
      <x:c r="F85" s="61" t="str">
        <x:v>10.1109/tie.2026.3682394</x:v>
      </x:c>
      <x:c r="G85" s="61" t="str">
        <x:v>https://doi.org/10.1109/tie.2026.3682394</x:v>
      </x:c>
      <x:c r="H85" s="61" t="str">
        <x:v>https://ieeexplore.ieee.org/search/searchresult.jsp?queryText=Multiphysics-Informed%20Adaptive%20Personalized%20Federated%20Learning%20for%20Battery%20State-of-Health%20Estimation</x:v>
      </x:c>
      <x:c r="I85" s="61" t="str">
        <x:v>True</x:v>
      </x:c>
      <x:c r="J85" s="61" t="str">
        <x:v>False</x:v>
      </x:c>
      <x:c r="K85" s="61" t="str">
        <x:v>title_abstract_candidate</x:v>
      </x:c>
      <x:c r="L85" s="61" t="str">
        <x:v>Crossref IEEE member record; detailed relevance not yet assessed.</x:v>
      </x:c>
    </x:row>
    <x:row r="86">
      <x:c r="A86" s="61" t="str">
        <x:v>Online Learning-based State of Health Estimation and Consistency Diagnosis for Lithium-ion Battery Pack in Embedded Battery Management System</x:v>
      </x:c>
      <x:c r="B86" s="61" t="str">
        <x:v>Zhongrui Cui; Junfeng Liu; Jing Rao; Yusra Abdulrahman; Zhongbao Wei; Chaojie Li</x:v>
      </x:c>
      <x:c r="C86" s="61" t="str">
        <x:v>2026</x:v>
      </x:c>
      <x:c r="D86" s="61" t="str">
        <x:v>IEEE Transactions on Transportation Electrification</x:v>
      </x:c>
      <x:c r="E86" s="61" t="str">
        <x:v>journal-article</x:v>
      </x:c>
      <x:c r="F86" s="61" t="str">
        <x:v>10.1109/tte.2026.3715675</x:v>
      </x:c>
      <x:c r="G86" s="61" t="str">
        <x:v>https://doi.org/10.1109/tte.2026.3715675</x:v>
      </x:c>
      <x:c r="H86" s="61" t="str">
        <x:v>https://ieeexplore.ieee.org/search/searchresult.jsp?queryText=Online%20Learning-based%20State%20of%20Health%20Estimation%20and%20Consistency%20Diagnosis%20for%20Lithium-ion%20Battery%20Pack%20in%20Embedded%20Battery%20Management%20System</x:v>
      </x:c>
      <x:c r="I86" s="61" t="str">
        <x:v>True</x:v>
      </x:c>
      <x:c r="J86" s="61" t="str">
        <x:v>False</x:v>
      </x:c>
      <x:c r="K86" s="61" t="str">
        <x:v>title_abstract_candidate</x:v>
      </x:c>
      <x:c r="L86" s="61" t="str">
        <x:v>Crossref IEEE member record; detailed relevance not yet assessed.</x:v>
      </x:c>
    </x:row>
    <x:row r="87">
      <x:c r="A87" s="61" t="str">
        <x:v>State of Power Prediction for Series-Connected Battery Packs Considering the Inconsistency in State of Health of Cells</x:v>
      </x:c>
      <x:c r="B87" s="61" t="str">
        <x:v>Simin Peng; Jinkang Chen; Daohan Zhang; Yuanliang Wang; Jiarong Kan; Aihua Tang; Yan Ma; Michael Pecht</x:v>
      </x:c>
      <x:c r="C87" s="61" t="str">
        <x:v>2026</x:v>
      </x:c>
      <x:c r="D87" s="61" t="str">
        <x:v>IEEE Transactions on Transportation Electrification</x:v>
      </x:c>
      <x:c r="E87" s="61" t="str">
        <x:v>journal-article</x:v>
      </x:c>
      <x:c r="F87" s="61" t="str">
        <x:v>10.1109/tte.2026.3700443</x:v>
      </x:c>
      <x:c r="G87" s="61" t="str">
        <x:v>https://doi.org/10.1109/tte.2026.3700443</x:v>
      </x:c>
      <x:c r="H87" s="61" t="str">
        <x:v>https://ieeexplore.ieee.org/search/searchresult.jsp?queryText=State%20of%20Power%20Prediction%20for%20Series-Connected%20Battery%20Packs%20Considering%20the%20Inconsistency%20in%20State%20of%20Health%20of%20Cells</x:v>
      </x:c>
      <x:c r="I87" s="61" t="str">
        <x:v>True</x:v>
      </x:c>
      <x:c r="J87" s="61" t="str">
        <x:v>False</x:v>
      </x:c>
      <x:c r="K87" s="61" t="str">
        <x:v>title_abstract_candidate</x:v>
      </x:c>
      <x:c r="L87" s="61" t="str">
        <x:v>Crossref IEEE member record; detailed relevance not yet assessed.</x:v>
      </x:c>
    </x:row>
    <x:row r="88">
      <x:c r="A88" s="61" t="str">
        <x:v>Time Series-Based Explainable Model for Lithium-Ion Battery State of Health Prediction</x:v>
      </x:c>
      <x:c r="B88" s="61" t="str">
        <x:v>Théo Heitzmann; Tedjani Mesbahi; Ahmed Samet; Romuald Boné</x:v>
      </x:c>
      <x:c r="C88" s="61" t="str">
        <x:v>2026</x:v>
      </x:c>
      <x:c r="D88" s="61" t="str">
        <x:v>IEEE Open Journal of Vehicular Technology</x:v>
      </x:c>
      <x:c r="E88" s="61" t="str">
        <x:v>journal-article</x:v>
      </x:c>
      <x:c r="F88" s="61" t="str">
        <x:v>10.1109/ojvt.2025.3634139</x:v>
      </x:c>
      <x:c r="G88" s="61" t="str">
        <x:v>https://doi.org/10.1109/ojvt.2025.3634139</x:v>
      </x:c>
      <x:c r="H88" s="61" t="str">
        <x:v>https://ieeexplore.ieee.org/search/searchresult.jsp?queryText=Time%20Series-Based%20Explainable%20Model%20for%20Lithium-Ion%20Battery%20State%20of%20Health%20Prediction</x:v>
      </x:c>
      <x:c r="I88" s="61" t="str">
        <x:v>True</x:v>
      </x:c>
      <x:c r="J88" s="61" t="str">
        <x:v>False</x:v>
      </x:c>
      <x:c r="K88" s="61" t="str">
        <x:v>title_abstract_candidate</x:v>
      </x:c>
      <x:c r="L88" s="61" t="str">
        <x:v>Crossref IEEE member record; detailed relevance not yet assessed.</x:v>
      </x:c>
    </x:row>
    <x:row r="89">
      <x:c r="A89" s="61" t="str">
        <x:v>Few-Shot Battery State-of-Health Estimation via Meta-Learning and Cross-Domain Adaptation</x:v>
      </x:c>
      <x:c r="B89" s="61" t="str">
        <x:v>Song Zhang; Weixiang Shen</x:v>
      </x:c>
      <x:c r="C89" s="61" t="str">
        <x:v>2026-01-18</x:v>
      </x:c>
      <x:c r="D89" s="61" t="str">
        <x:v>2026 IEEE PES International Meeting (PES IM)</x:v>
      </x:c>
      <x:c r="E89" s="61" t="str">
        <x:v>proceedings-article</x:v>
      </x:c>
      <x:c r="F89" s="61" t="str">
        <x:v>10.1109/pesim67009.2026.11438910</x:v>
      </x:c>
      <x:c r="G89" s="61" t="str">
        <x:v>https://doi.org/10.1109/pesim67009.2026.11438910</x:v>
      </x:c>
      <x:c r="H89" s="61" t="str">
        <x:v>https://ieeexplore.ieee.org/search/searchresult.jsp?queryText=Few-Shot%20Battery%20State-of-Health%20Estimation%20via%20Meta-Learning%20and%20Cross-Domain%20Adaptation</x:v>
      </x:c>
      <x:c r="I89" s="61" t="str">
        <x:v>True</x:v>
      </x:c>
      <x:c r="J89" s="61" t="str">
        <x:v>False</x:v>
      </x:c>
      <x:c r="K89" s="61" t="str">
        <x:v>title_abstract_candidate</x:v>
      </x:c>
      <x:c r="L89" s="61" t="str">
        <x:v>Crossref IEEE member record; detailed relevance not yet assessed.</x:v>
      </x:c>
    </x:row>
    <x:row r="90">
      <x:c r="A90" s="61" t="str">
        <x:v>Global–Local Feature Fusion for Accurate Long-Term Battery State-of-Health Forecast</x:v>
      </x:c>
      <x:c r="B90" s="61" t="str">
        <x:v>Xuexi Tang; Zhitao Liu; Penghua Li; Hongye Su</x:v>
      </x:c>
      <x:c r="C90" s="61" t="str">
        <x:v>2026-02</x:v>
      </x:c>
      <x:c r="D90" s="61" t="str">
        <x:v>IEEE Transactions on Transportation Electrification</x:v>
      </x:c>
      <x:c r="E90" s="61" t="str">
        <x:v>journal-article</x:v>
      </x:c>
      <x:c r="F90" s="61" t="str">
        <x:v>10.1109/tte.2025.3624468</x:v>
      </x:c>
      <x:c r="G90" s="61" t="str">
        <x:v>https://doi.org/10.1109/tte.2025.3624468</x:v>
      </x:c>
      <x:c r="H90" s="61" t="str">
        <x:v>https://ieeexplore.ieee.org/search/searchresult.jsp?queryText=Global%E2%80%93Local%20Feature%20Fusion%20for%20Accurate%20Long-Term%20Battery%20State-of-Health%20Forecast</x:v>
      </x:c>
      <x:c r="I90" s="61" t="str">
        <x:v>True</x:v>
      </x:c>
      <x:c r="J90" s="61" t="str">
        <x:v>False</x:v>
      </x:c>
      <x:c r="K90" s="61" t="str">
        <x:v>title_abstract_candidate</x:v>
      </x:c>
      <x:c r="L90" s="61" t="str">
        <x:v>Crossref IEEE member record; detailed relevance not yet assessed.</x:v>
      </x:c>
    </x:row>
    <x:row r="91">
      <x:c r="A91" s="61" t="str">
        <x:v>Multifeature Battery State-of-Health Linear Estimation Based on Low-Cost Pretrained Inference LLM</x:v>
      </x:c>
      <x:c r="B91" s="61" t="str">
        <x:v>Qihe Zhao; Yunhao Li; Lingyue Kong; Long Chang; Guiyue Kou; Mingfei Mu</x:v>
      </x:c>
      <x:c r="C91" s="61" t="str">
        <x:v>2026-02</x:v>
      </x:c>
      <x:c r="D91" s="61" t="str">
        <x:v>IEEE Transactions on Transportation Electrification</x:v>
      </x:c>
      <x:c r="E91" s="61" t="str">
        <x:v>journal-article</x:v>
      </x:c>
      <x:c r="F91" s="61" t="str">
        <x:v>10.1109/tte.2025.3623295</x:v>
      </x:c>
      <x:c r="G91" s="61" t="str">
        <x:v>https://doi.org/10.1109/tte.2025.3623295</x:v>
      </x:c>
      <x:c r="H91" s="61" t="str">
        <x:v>https://ieeexplore.ieee.org/search/searchresult.jsp?queryText=Multifeature%20Battery%20State-of-Health%20Linear%20Estimation%20Based%20on%20Low-Cost%20Pretrained%20Inference%20LLM</x:v>
      </x:c>
      <x:c r="I91" s="61" t="str">
        <x:v>True</x:v>
      </x:c>
      <x:c r="J91" s="61" t="str">
        <x:v>False</x:v>
      </x:c>
      <x:c r="K91" s="61" t="str">
        <x:v>title_abstract_candidate</x:v>
      </x:c>
      <x:c r="L91" s="61" t="str">
        <x:v>Crossref IEEE member record; detailed relevance not yet assessed.</x:v>
      </x:c>
    </x:row>
    <x:row r="92">
      <x:c r="A92" s="61" t="str">
        <x:v>Revealing State-Feature Dependencies in Dynamic Degradation: An Exofeature-Aware Transformer for Battery State-of-Health Prediction</x:v>
      </x:c>
      <x:c r="B92" s="61" t="str">
        <x:v>Ruyi Huang; Yan Chen; Cheng Liu</x:v>
      </x:c>
      <x:c r="C92" s="61" t="str">
        <x:v>2026-02</x:v>
      </x:c>
      <x:c r="D92" s="61" t="str">
        <x:v>IEEE Transactions on Consumer Electronics</x:v>
      </x:c>
      <x:c r="E92" s="61" t="str">
        <x:v>journal-article</x:v>
      </x:c>
      <x:c r="F92" s="61" t="str">
        <x:v>10.1109/tce.2025.3631954</x:v>
      </x:c>
      <x:c r="G92" s="61" t="str">
        <x:v>https://doi.org/10.1109/tce.2025.3631954</x:v>
      </x:c>
      <x:c r="H92" s="61" t="str">
        <x:v>https://ieeexplore.ieee.org/search/searchresult.jsp?queryText=Revealing%20State-Feature%20Dependencies%20in%20Dynamic%20Degradation%3A%20An%20Exofeature-Aware%20Transformer%20for%20Battery%20State-of-Health%20Prediction</x:v>
      </x:c>
      <x:c r="I92" s="61" t="str">
        <x:v>True</x:v>
      </x:c>
      <x:c r="J92" s="61" t="str">
        <x:v>False</x:v>
      </x:c>
      <x:c r="K92" s="61" t="str">
        <x:v>title_abstract_candidate</x:v>
      </x:c>
      <x:c r="L92" s="61" t="str">
        <x:v>Crossref IEEE member record; detailed relevance not yet assessed.</x:v>
      </x:c>
    </x:row>
    <x:row r="93">
      <x:c r="A93" s="61" t="str">
        <x:v>State of Health Estimation Lithium-ion Battery: Comparing Algorithms with Explainable Machine Learning</x:v>
      </x:c>
      <x:c r="B93" s="61" t="str">
        <x:v>Arun Jose; Sonam Shrivastava</x:v>
      </x:c>
      <x:c r="C93" s="61" t="str">
        <x:v>2026-02-13</x:v>
      </x:c>
      <x:c r="D93" s="61" t="str">
        <x:v>2026 International Conference on Intelligent Processing, Hardware, Electronics, and Radio Systems (CIPHER)</x:v>
      </x:c>
      <x:c r="E93" s="61" t="str">
        <x:v>proceedings-article</x:v>
      </x:c>
      <x:c r="F93" s="61" t="str">
        <x:v>10.1109/cipher70417.2026.11523764</x:v>
      </x:c>
      <x:c r="G93" s="61" t="str">
        <x:v>https://doi.org/10.1109/cipher70417.2026.11523764</x:v>
      </x:c>
      <x:c r="H93" s="61" t="str">
        <x:v>https://ieeexplore.ieee.org/search/searchresult.jsp?queryText=State%20of%20Health%20Estimation%20Lithium-ion%20Battery%3A%20Comparing%20Algorithms%20with%20Explainable%20Machine%20Learning</x:v>
      </x:c>
      <x:c r="I93" s="61" t="str">
        <x:v>True</x:v>
      </x:c>
      <x:c r="J93" s="61" t="str">
        <x:v>False</x:v>
      </x:c>
      <x:c r="K93" s="61" t="str">
        <x:v>title_abstract_candidate</x:v>
      </x:c>
      <x:c r="L93" s="61" t="str">
        <x:v>Crossref IEEE member record; detailed relevance not yet assessed.</x:v>
      </x:c>
    </x:row>
    <x:row r="94">
      <x:c r="A94" s="61" t="str">
        <x:v>State-of-Health Estimation for Lithium-Ion Battery With Interpretable Analysis</x:v>
      </x:c>
      <x:c r="B94" s="61" t="str">
        <x:v>Yuanyuan Li; Xinrong Huang; Jinhao Meng; Kaibo Shi; Min Li; Remus Teodorescu; Søren Byg Vilsen; Daniel Ioan Stroe</x:v>
      </x:c>
      <x:c r="C94" s="61" t="str">
        <x:v>2026-04</x:v>
      </x:c>
      <x:c r="D94" s="61" t="str">
        <x:v>IEEE Transactions on Transportation Electrification</x:v>
      </x:c>
      <x:c r="E94" s="61" t="str">
        <x:v>journal-article</x:v>
      </x:c>
      <x:c r="F94" s="61" t="str">
        <x:v>10.1109/tte.2025.3639104</x:v>
      </x:c>
      <x:c r="G94" s="61" t="str">
        <x:v>https://doi.org/10.1109/tte.2025.3639104</x:v>
      </x:c>
      <x:c r="H94" s="61" t="str">
        <x:v>https://ieeexplore.ieee.org/search/searchresult.jsp?queryText=State-of-Health%20Estimation%20for%20Lithium-Ion%20Battery%20With%20Interpretable%20Analysis</x:v>
      </x:c>
      <x:c r="I94" s="61" t="str">
        <x:v>True</x:v>
      </x:c>
      <x:c r="J94" s="61" t="str">
        <x:v>False</x:v>
      </x:c>
      <x:c r="K94" s="61" t="str">
        <x:v>title_abstract_candidate</x:v>
      </x:c>
      <x:c r="L94" s="61" t="str">
        <x:v>Crossref IEEE member record; detailed relevance not yet assessed.</x:v>
      </x:c>
    </x:row>
    <x:row r="95">
      <x:c r="A95" s="61" t="str">
        <x:v>Advanced Ensemble Learning for Lithium-Ion Battery State of Health in Smart Transportation Fleets</x:v>
      </x:c>
      <x:c r="B95" s="61" t="str">
        <x:v>Sai Madhav Yedupati; Nitin Nitin; Manisha T. Shah; Dyllon Dekok; Marc Cahay</x:v>
      </x:c>
      <x:c r="C95" s="61" t="str">
        <x:v>2026-04-19</x:v>
      </x:c>
      <x:c r="D95" s="61" t="str">
        <x:v>2026 IEEE Conference on Technologies for Sustainability (SusTech)</x:v>
      </x:c>
      <x:c r="E95" s="61" t="str">
        <x:v>proceedings-article</x:v>
      </x:c>
      <x:c r="F95" s="61" t="str">
        <x:v>10.1109/sustech67720.2026.11536645</x:v>
      </x:c>
      <x:c r="G95" s="61" t="str">
        <x:v>https://doi.org/10.1109/sustech67720.2026.11536645</x:v>
      </x:c>
      <x:c r="H95" s="61" t="str">
        <x:v>https://ieeexplore.ieee.org/search/searchresult.jsp?queryText=Advanced%20Ensemble%20Learning%20for%20Lithium-Ion%20Battery%20State%20of%20Health%20in%20Smart%20Transportation%20Fleets</x:v>
      </x:c>
      <x:c r="I95" s="61" t="str">
        <x:v>True</x:v>
      </x:c>
      <x:c r="J95" s="61" t="str">
        <x:v>False</x:v>
      </x:c>
      <x:c r="K95" s="61" t="str">
        <x:v>title_abstract_candidate</x:v>
      </x:c>
      <x:c r="L95" s="61" t="str">
        <x:v>Crossref IEEE member record; detailed relevance not yet assessed.</x:v>
      </x:c>
    </x:row>
    <x:row r="96">
      <x:c r="A96" s="61" t="str">
        <x:v>Machine Learning Enabled Prototype for Lithium-Ion Battery State of Health Estimation</x:v>
      </x:c>
      <x:c r="B96" s="61" t="str">
        <x:v>K. Dhananjay Rao; Kodeboina Teja Sri; Jujjuvarapu Sunil Babu; Kakarlamudi Vivek Vardhan; Pinapothu Naveen Kumar; Nuvvula Manasa Mani</x:v>
      </x:c>
      <x:c r="C96" s="61" t="str">
        <x:v>2026-05-13</x:v>
      </x:c>
      <x:c r="D96" s="61" t="str">
        <x:v>2026 8th International Conference on Inventive Material Science and Applications (ICIMA)</x:v>
      </x:c>
      <x:c r="E96" s="61" t="str">
        <x:v>proceedings-article</x:v>
      </x:c>
      <x:c r="F96" s="61" t="str">
        <x:v>10.1109/icima68728.2026.11564671</x:v>
      </x:c>
      <x:c r="G96" s="61" t="str">
        <x:v>https://doi.org/10.1109/icima68728.2026.11564671</x:v>
      </x:c>
      <x:c r="H96" s="61" t="str">
        <x:v>https://ieeexplore.ieee.org/search/searchresult.jsp?queryText=Machine%20Learning%20Enabled%20Prototype%20for%20Lithium-Ion%20Battery%20State%20of%20Health%20Estimation</x:v>
      </x:c>
      <x:c r="I96" s="61" t="str">
        <x:v>True</x:v>
      </x:c>
      <x:c r="J96" s="61" t="str">
        <x:v>False</x:v>
      </x:c>
      <x:c r="K96" s="61" t="str">
        <x:v>title_abstract_candidate</x:v>
      </x:c>
      <x:c r="L96" s="61" t="str">
        <x:v>Crossref IEEE member record; detailed relevance not yet assessed.</x:v>
      </x:c>
    </x:row>
    <x:row r="97">
      <x:c r="A97" s="61" t="str">
        <x:v>A Hybrid Physics-Informed Neural Network for Battery State of Health Estimation</x:v>
      </x:c>
      <x:c r="B97" s="61" t="str">
        <x:v>Qi Liu; Jiali Yu; Lingxin Cui; Mengting Chen; Yuexiu Xing</x:v>
      </x:c>
      <x:c r="C97" s="61" t="str">
        <x:v>2026-05-15</x:v>
      </x:c>
      <x:c r="D97" s="61" t="str">
        <x:v>2026 38th Chinese Control and Decision Conference (CCDC)</x:v>
      </x:c>
      <x:c r="E97" s="61" t="str">
        <x:v>proceedings-article</x:v>
      </x:c>
      <x:c r="F97" s="61" t="str">
        <x:v>10.1109/ccdc69976.2026.11559884</x:v>
      </x:c>
      <x:c r="G97" s="61" t="str">
        <x:v>https://doi.org/10.1109/ccdc69976.2026.11559884</x:v>
      </x:c>
      <x:c r="H97" s="61" t="str">
        <x:v>https://ieeexplore.ieee.org/search/searchresult.jsp?queryText=A%20Hybrid%20Physics-Informed%20Neural%20Network%20for%20Battery%20State%20of%20Health%20Estimation</x:v>
      </x:c>
      <x:c r="I97" s="61" t="str">
        <x:v>True</x:v>
      </x:c>
      <x:c r="J97" s="61" t="str">
        <x:v>False</x:v>
      </x:c>
      <x:c r="K97" s="61" t="str">
        <x:v>title_abstract_candidate</x:v>
      </x:c>
      <x:c r="L97" s="61" t="str">
        <x:v>Crossref IEEE member record; detailed relevance not yet assessed.</x:v>
      </x:c>
    </x:row>
    <x:row r="98">
      <x:c r="A98" s="61" t="str">
        <x:v>Robustness Assessment of Edge AI-Based Li-Ion Battery State-Of-Health Prediction</x:v>
      </x:c>
      <x:c r="B98" s="61" t="str">
        <x:v>Alexandru Ciobotaru; Cosmina Corches; Dan Gota; Szilárd Enyedi; Ovidiu Stan; Liviu Miclea</x:v>
      </x:c>
      <x:c r="C98" s="61" t="str">
        <x:v>2026-05-25</x:v>
      </x:c>
      <x:c r="D98" s="61" t="str">
        <x:v>2026 IEEE European Test Symposium (ETS)</x:v>
      </x:c>
      <x:c r="E98" s="61" t="str">
        <x:v>proceedings-article</x:v>
      </x:c>
      <x:c r="F98" s="61" t="str">
        <x:v>10.1109/ets69887.2026.11591577</x:v>
      </x:c>
      <x:c r="G98" s="61" t="str">
        <x:v>https://doi.org/10.1109/ets69887.2026.11591577</x:v>
      </x:c>
      <x:c r="H98" s="61" t="str">
        <x:v>https://ieeexplore.ieee.org/search/searchresult.jsp?queryText=Robustness%20Assessment%20of%20Edge%20AI-Based%20Li-Ion%20Battery%20State-Of-Health%20Prediction</x:v>
      </x:c>
      <x:c r="I98" s="61" t="str">
        <x:v>True</x:v>
      </x:c>
      <x:c r="J98" s="61" t="str">
        <x:v>False</x:v>
      </x:c>
      <x:c r="K98" s="61" t="str">
        <x:v>title_abstract_candidate</x:v>
      </x:c>
      <x:c r="L98" s="61" t="str">
        <x:v>Crossref IEEE member record; detailed relevance not yet assessed.</x:v>
      </x:c>
    </x:row>
    <x:row r="99">
      <x:c r="A99" s="61" t="str">
        <x:v>An Enhanced Physics-Informed Neural Network for Lithium-Ion Battery State-of-Health Prediction</x:v>
      </x:c>
      <x:c r="B99" s="61" t="str">
        <x:v>Beier Huang; Yu Zeng; Dehong Zhou; Chenyao Xu; Xiaozhou Han; Zewei Shen; Jianxiao Zou; Josep Pou</x:v>
      </x:c>
      <x:c r="C99" s="61" t="str">
        <x:v>2026-05-31</x:v>
      </x:c>
      <x:c r="D99" s="61" t="str">
        <x:v>2026 International Power Electronics Conference (IPEC-Nagasaki 2026 - ECCE Asia)</x:v>
      </x:c>
      <x:c r="E99" s="61" t="str">
        <x:v>proceedings-article</x:v>
      </x:c>
      <x:c r="F99" s="61" t="str">
        <x:v>10.23919/ipec-nagasaki2026-ec64663.2026.11597342</x:v>
      </x:c>
      <x:c r="G99" s="61" t="str">
        <x:v>https://doi.org/10.23919/ipec-nagasaki2026-ec64663.2026.11597342</x:v>
      </x:c>
      <x:c r="H99" s="61" t="str">
        <x:v>https://ieeexplore.ieee.org/search/searchresult.jsp?queryText=An%20Enhanced%20Physics-Informed%20Neural%20Network%20for%20Lithium-Ion%20Battery%20State-of-Health%20Prediction</x:v>
      </x:c>
      <x:c r="I99" s="61" t="str">
        <x:v>True</x:v>
      </x:c>
      <x:c r="J99" s="61" t="str">
        <x:v>False</x:v>
      </x:c>
      <x:c r="K99" s="61" t="str">
        <x:v>title_abstract_candidate</x:v>
      </x:c>
      <x:c r="L99" s="61" t="str">
        <x:v>Crossref IEEE member record; detailed relevance not yet assessed.</x:v>
      </x:c>
    </x:row>
    <x:row r="100">
      <x:c r="A100" s="61" t="str">
        <x:v>Drive and Learn: Federated Learning for Battery State of Health Estimation in Connected Vehicles</x:v>
      </x:c>
      <x:c r="B100" s="61" t="str">
        <x:v>Anna Glownia; Matteo Sammarco; Thierno-Hamidou Barry; Trevor Zeffiro</x:v>
      </x:c>
      <x:c r="C100" s="61" t="str">
        <x:v>2026-06</x:v>
      </x:c>
      <x:c r="D100" s="61" t="str">
        <x:v>2026 IEEE Intelligent Vehicles Symposium (IV)</x:v>
      </x:c>
      <x:c r="E100" s="61" t="str">
        <x:v>proceedings-article</x:v>
      </x:c>
      <x:c r="F100" s="61" t="str">
        <x:v>10.1109/iv66570.2026.11623946</x:v>
      </x:c>
      <x:c r="G100" s="61" t="str">
        <x:v>https://doi.org/10.1109/iv66570.2026.11623946</x:v>
      </x:c>
      <x:c r="H100" s="61" t="str">
        <x:v>https://ieeexplore.ieee.org/search/searchresult.jsp?queryText=Drive%20and%20Learn%3A%20Federated%20Learning%20for%20Battery%20State%20of%20Health%20Estimation%20in%20Connected%20Vehicles</x:v>
      </x:c>
      <x:c r="I100" s="61" t="str">
        <x:v>True</x:v>
      </x:c>
      <x:c r="J100" s="61" t="str">
        <x:v>False</x:v>
      </x:c>
      <x:c r="K100" s="61" t="str">
        <x:v>title_abstract_candidate</x:v>
      </x:c>
      <x:c r="L100" s="61" t="str">
        <x:v>Crossref IEEE member record; detailed relevance not yet assessed.</x:v>
      </x:c>
    </x:row>
    <x:row r="101">
      <x:c r="A101" s="61" t="str">
        <x:v>Lithium-Ion Battery State of Health Estimation Based on Reconstructed Health Features and Fused Neural Networks</x:v>
      </x:c>
      <x:c r="B101" s="61" t="str">
        <x:v>Runkai Hao; Wenjie Yuan; Xiaomeng Yang; Fan Zhang; Kai Huang</x:v>
      </x:c>
      <x:c r="C101" s="61" t="str">
        <x:v>2026-06</x:v>
      </x:c>
      <x:c r="D101" s="61" t="str">
        <x:v>2026 International Conference on Electronic Circuits and Sensor Technology (ECST)</x:v>
      </x:c>
      <x:c r="E101" s="61" t="str">
        <x:v>proceedings-article</x:v>
      </x:c>
      <x:c r="F101" s="61" t="str">
        <x:v>10.1109/ecst70398.2026.11622075</x:v>
      </x:c>
      <x:c r="G101" s="61" t="str">
        <x:v>https://doi.org/10.1109/ecst70398.2026.11622075</x:v>
      </x:c>
      <x:c r="H101" s="61" t="str">
        <x:v>https://ieeexplore.ieee.org/search/searchresult.jsp?queryText=Lithium-Ion%20Battery%20State%20of%20Health%20Estimation%20Based%20on%20Reconstructed%20Health%20Features%20and%20Fused%20Neural%20Networks</x:v>
      </x:c>
      <x:c r="I101" s="61" t="str">
        <x:v>True</x:v>
      </x:c>
      <x:c r="J101" s="61" t="str">
        <x:v>False</x:v>
      </x:c>
      <x:c r="K101" s="61" t="str">
        <x:v>title_abstract_candidate</x:v>
      </x:c>
      <x:c r="L101" s="61" t="str">
        <x:v>Crossref IEEE member record; detailed relevance not yet assessed.</x:v>
      </x:c>
    </x:row>
    <x:row r="102">
      <x:c r="A102" s="61" t="str">
        <x:v>Physics-Guided Multi-Stage Gradient Boosting for Battery State of Health Estimation</x:v>
      </x:c>
      <x:c r="B102" s="61" t="str">
        <x:v>Mücahit Kutal; Birol Arifoğlu</x:v>
      </x:c>
      <x:c r="C102" s="61" t="str">
        <x:v>2026-06</x:v>
      </x:c>
      <x:c r="D102" s="61" t="str">
        <x:v>2026 2nd International Symposium on AI-Driven Engineering Systems (ISADES)</x:v>
      </x:c>
      <x:c r="E102" s="61" t="str">
        <x:v>proceedings-article</x:v>
      </x:c>
      <x:c r="F102" s="61" t="str">
        <x:v>10.1109/isades69945.2026.11608199</x:v>
      </x:c>
      <x:c r="G102" s="61" t="str">
        <x:v>https://doi.org/10.1109/isades69945.2026.11608199</x:v>
      </x:c>
      <x:c r="H102" s="61" t="str">
        <x:v>https://ieeexplore.ieee.org/search/searchresult.jsp?queryText=Physics-Guided%20Multi-Stage%20Gradient%20Boosting%20for%20Battery%20State%20of%20Health%20Estimation</x:v>
      </x:c>
      <x:c r="I102" s="61" t="str">
        <x:v>True</x:v>
      </x:c>
      <x:c r="J102" s="61" t="str">
        <x:v>False</x:v>
      </x:c>
      <x:c r="K102" s="61" t="str">
        <x:v>title_abstract_candidate</x:v>
      </x:c>
      <x:c r="L102" s="61" t="str">
        <x:v>Crossref IEEE member record; detailed relevance not yet assessed.</x:v>
      </x:c>
    </x:row>
    <x:row r="103">
      <x:c r="A103" s="61" t="str">
        <x:v>A Pulse-Derived Resistance Ratio Metric for Rapid Battery State-of-Health Assessment</x:v>
      </x:c>
      <x:c r="B103" s="61" t="str">
        <x:v>Masa Damdoum; Prarthana Pillai; Balakumar Balasingam</x:v>
      </x:c>
      <x:c r="C103" s="61" t="str">
        <x:v>2026-06-01</x:v>
      </x:c>
      <x:c r="D103" s="61" t="str">
        <x:v>2026 IEEE International Conference on Prognostics and Health Management (ICPHM)</x:v>
      </x:c>
      <x:c r="E103" s="61" t="str">
        <x:v>proceedings-article</x:v>
      </x:c>
      <x:c r="F103" s="61" t="str">
        <x:v>10.1109/icphm69567.2026.11585266</x:v>
      </x:c>
      <x:c r="G103" s="61" t="str">
        <x:v>https://doi.org/10.1109/icphm69567.2026.11585266</x:v>
      </x:c>
      <x:c r="H103" s="61" t="str">
        <x:v>https://ieeexplore.ieee.org/search/searchresult.jsp?queryText=A%20Pulse-Derived%20Resistance%20Ratio%20Metric%20for%20Rapid%20Battery%20State-of-Health%20Assessment</x:v>
      </x:c>
      <x:c r="I103" s="61" t="str">
        <x:v>True</x:v>
      </x:c>
      <x:c r="J103" s="61" t="str">
        <x:v>False</x:v>
      </x:c>
      <x:c r="K103" s="61" t="str">
        <x:v>title_abstract_candidate</x:v>
      </x:c>
      <x:c r="L103" s="61" t="str">
        <x:v>Crossref IEEE member record; detailed relevance not yet assessed.</x:v>
      </x:c>
    </x:row>
    <x:row r="104">
      <x:c r="A104" s="61" t="str">
        <x:v>Battery State of Health Estimation Framework for EV Charging and Discharging Coordination Strategy</x:v>
      </x:c>
      <x:c r="B104" s="61" t="str">
        <x:v>Sulaiman Alabbas; Alexis Kwasinski</x:v>
      </x:c>
      <x:c r="C104" s="61" t="str">
        <x:v>2026-06-03</x:v>
      </x:c>
      <x:c r="D104" s="61" t="str">
        <x:v>2026 8th Global Power, Energy and Communication Conference (GPECOM)</x:v>
      </x:c>
      <x:c r="E104" s="61" t="str">
        <x:v>proceedings-article</x:v>
      </x:c>
      <x:c r="F104" s="61" t="str">
        <x:v>10.1109/gpecom70462.2026.11578446</x:v>
      </x:c>
      <x:c r="G104" s="61" t="str">
        <x:v>https://doi.org/10.1109/gpecom70462.2026.11578446</x:v>
      </x:c>
      <x:c r="H104" s="61" t="str">
        <x:v>https://ieeexplore.ieee.org/search/searchresult.jsp?queryText=Battery%20State%20of%20Health%20Estimation%20Framework%20for%20EV%20Charging%20and%20Discharging%20Coordination%20Strategy</x:v>
      </x:c>
      <x:c r="I104" s="61" t="str">
        <x:v>True</x:v>
      </x:c>
      <x:c r="J104" s="61" t="str">
        <x:v>False</x:v>
      </x:c>
      <x:c r="K104" s="61" t="str">
        <x:v>title_abstract_candidate</x:v>
      </x:c>
      <x:c r="L104" s="61" t="str">
        <x:v>Crossref IEEE member record; detailed relevance not yet assessed.</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5"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 min="9" max="9" width="44" hidden="0" customWidth="1"/>
    <x:col min="10" max="10" width="44" hidden="0" customWidth="1"/>
    <x:col min="11" max="11" width="44" hidden="0" customWidth="1"/>
    <x:col min="12" max="12" width="44" hidden="0" customWidth="1"/>
    <x:col min="13" max="13" width="44" hidden="0" customWidth="1"/>
    <x:col min="14" max="14" width="44" hidden="0" customWidth="1"/>
    <x:col min="15" max="15" width="44" hidden="0" customWidth="1"/>
    <x:col min="16" max="16" width="44" hidden="0" customWidth="1"/>
    <x:col min="17" max="17" width="18" hidden="0" customWidth="1"/>
    <x:col min="18" max="18" width="18" hidden="0" customWidth="1"/>
    <x:col min="19" max="19" width="18" hidden="0" customWidth="1"/>
    <x:col min="20" max="20" width="18" hidden="0" customWidth="1"/>
    <x:col min="21" max="21" width="18" hidden="0" customWidth="1"/>
    <x:col min="22" max="22" width="18" hidden="0" customWidth="1"/>
    <x:col min="23" max="23" width="70" hidden="0" customWidth="1"/>
  </x:cols>
  <x:sheetData>
    <x:row r="1" ht="32" customHeight="1">
      <x:c r="A1" s="60" t="str">
        <x:v>﻿doi</x:v>
      </x:c>
      <x:c r="B1" s="60" t="str">
        <x:v>title</x:v>
      </x:c>
      <x:c r="C1" s="60" t="str">
        <x:v>authors</x:v>
      </x:c>
      <x:c r="D1" s="60" t="str">
        <x:v>publication_date</x:v>
      </x:c>
      <x:c r="E1" s="60" t="str">
        <x:v>venue</x:v>
      </x:c>
      <x:c r="F1" s="60" t="str">
        <x:v>document_type</x:v>
      </x:c>
      <x:c r="G1" s="60" t="str">
        <x:v>ieee_url</x:v>
      </x:c>
      <x:c r="H1" s="60" t="str">
        <x:v>semantic_scholar_url</x:v>
      </x:c>
      <x:c r="I1" s="60" t="str">
        <x:v>real_world_problem</x:v>
      </x:c>
      <x:c r="J1" s="60" t="str">
        <x:v>method</x:v>
      </x:c>
      <x:c r="K1" s="60" t="str">
        <x:v>dataset</x:v>
      </x:c>
      <x:c r="L1" s="60" t="str">
        <x:v>protocol_or_scope</x:v>
      </x:c>
      <x:c r="M1" s="60" t="str">
        <x:v>reported_metrics</x:v>
      </x:c>
      <x:c r="N1" s="60" t="str">
        <x:v>code_availability</x:v>
      </x:c>
      <x:c r="O1" s="60" t="str">
        <x:v>limitations_or_missing_data</x:v>
      </x:c>
      <x:c r="P1" s="60" t="str">
        <x:v>gmtc_compatibility_observation</x:v>
      </x:c>
      <x:c r="Q1" s="60" t="str">
        <x:v>abstract_verification</x:v>
      </x:c>
      <x:c r="R1" s="60" t="str">
        <x:v>crossref_ieee_verification</x:v>
      </x:c>
      <x:c r="S1" s="60" t="str">
        <x:v>title_crosscheck</x:v>
      </x:c>
      <x:c r="T1" s="60" t="str">
        <x:v>source_status</x:v>
      </x:c>
      <x:c r="U1" s="60" t="str">
        <x:v>evidence_level</x:v>
      </x:c>
      <x:c r="V1" s="60" t="str">
        <x:v>coi_status</x:v>
      </x:c>
      <x:c r="W1" s="60" t="str">
        <x:v>abstract</x:v>
      </x:c>
    </x:row>
    <x:row r="2">
      <x:c r="A2" s="61" t="str">
        <x:v>10.1109/tpel.2025.3538469</x:v>
      </x:c>
      <x:c r="B2" s="61" t="str">
        <x:v>Multisource Domain Metalearning Network for Battery State-of-Health Estimation Under Multitarget Working Conditions</x:v>
      </x:c>
      <x:c r="C2" s="61" t="str">
        <x:v>Mengqi Miao; Chaoang Xiao; Jianbo Yu</x:v>
      </x:c>
      <x:c r="D2" s="61" t="str">
        <x:v>2025-07-01</x:v>
      </x:c>
      <x:c r="E2" s="61" t="str">
        <x:v>IEEE transactions on power electronics</x:v>
      </x:c>
      <x:c r="F2" s="61" t="str">
        <x:v>journal-article</x:v>
      </x:c>
      <x:c r="G2" s="61" t="str">
        <x:v>https://doi.org/10.1109/tpel.2025.3538469</x:v>
      </x:c>
      <x:c r="H2" s="61" t="str">
        <x:v>https://www.semanticscholar.org/paper/2748a199d139512626908b38e4f7afda8cf0f724</x:v>
      </x:c>
      <x:c r="I2" s="61" t="str">
        <x:v>Multiple target operating conditions cause domain shift; single-target adaptation must be retrained for each new condition.</x:v>
      </x:c>
      <x:c r="J2" s="61" t="str">
        <x:v>Multisource domain meta-learning, meta-fusion, and an EMD recurrent-convolution feature extractor.</x:v>
      </x:c>
      <x:c r="K2" s="61" t="str">
        <x:v>Combined lithium-ion battery dataset; exact constituent datasets not disclosed in the abstract metadata.</x:v>
      </x:c>
      <x:c r="L2" s="61" t="str">
        <x:v>Multiple source/target conditions with SOH labels for evaluation.</x:v>
      </x:c>
      <x:c r="M2" s="61" t="str">
        <x:v>MAE 0.0474 and normalized RMSE 0.2187 over three target operating conditions (units/normalization require full-text confirmation).</x:v>
      </x:c>
      <x:c r="N2" s="61" t="str">
        <x:v>not_found_in_retrieved_metadata</x:v>
      </x:c>
      <x:c r="O2" s="61" t="str">
        <x:v>Use as evidence for the pain point, not as permission to replace TimesNet/iTransformer.</x:v>
      </x:c>
      <x:c r="P2" s="61" t="str">
        <x:v>High conceptual fit for cross-temperature/load validation, but the full meta-learning network would be too large as a single add-on.</x:v>
      </x:c>
      <x:c r="Q2" s="61" t="str">
        <x:v>verified_semantic_scholar</x:v>
      </x:c>
      <x:c r="R2" s="61" t="str">
        <x:v>verified</x:v>
      </x:c>
      <x:c r="S2" s="61" t="str">
        <x:v>True</x:v>
      </x:c>
      <x:c r="T2" s="61" t="str">
        <x:v>VERIFIED</x:v>
      </x:c>
      <x:c r="U2" s="61" t="str">
        <x:v>VI_single_computational_or_experimental_study</x:v>
      </x:c>
      <x:c r="V2" s="61" t="str">
        <x:v>not_reported_in_retrieved_metadata</x:v>
      </x:c>
      <x:c r="W2" s="61" t="str">
        <x:v>State of health (SOH) estimation is important in battery health prognostics. The discrepancy in working conditions gives rise to the phenomenon of domain shift, which presents a significant obstacle to the accurate estimation of battery SOH. Domain adaptation (DA) has been widely used to solve the domain shift problem in battery SOH estimation by minimizing the distribution discrepancy between different domains. However, the multitarget domain shift problem is not be addressed well for existing methods. Most existing DAs only consider a single target domain, which means that the model needs to be retrained when new scenarios emerge, which differ from the original target working condition. In this article, multisource domain metalearning network (MSDMLN) is proposed for battery SOH estimation under multiple target working conditions. A novel metalearning method, multisource domain metalearning (MSDML) strategy is developed for enhancing the generalization of the network by diversifying battery health degradation features based on meta fusion block. Empirical mode decomposition-densely connected recurrent-convolution network is developed to extract global degradation tendency and local fluctuation features of Li-ion batteries. The effectiveness of MSDMLN is verified on the combined Li-ion battery dataset. The results demonstrate that MSDMLN achieved low mean absolute error (i.e., 0.0474) and normalized root mean square error (i.e., 0.2187) for three different target operating conditions, which is better than other state-of-the-art methods. This illustrates the outperformance of MSDMLN in generalizing the estimation of battery SOH under multitarget working conditions, due to the integration of MSDML and the meta fusion block.</x:v>
      </x:c>
    </x:row>
    <x:row r="3">
      <x:c r="A3" s="61" t="str">
        <x:v>10.1109/tpel.2025.3580291</x:v>
      </x:c>
      <x:c r="B3" s="61" t="str">
        <x:v>State of Health Estimation for Lithium-Ion Battery With Label-Free Data Based on Deep Domain Feature Independent Alignment Network</x:v>
      </x:c>
      <x:c r="C3" s="61" t="str">
        <x:v>Chenxi Song; Haitao Yuan; G. Wang; Naxin Cui</x:v>
      </x:c>
      <x:c r="D3" s="61" t="str">
        <x:v>2025-10-01</x:v>
      </x:c>
      <x:c r="E3" s="61" t="str">
        <x:v>IEEE transactions on power electronics</x:v>
      </x:c>
      <x:c r="F3" s="61" t="str">
        <x:v>journal-article</x:v>
      </x:c>
      <x:c r="G3" s="61" t="str">
        <x:v>https://doi.org/10.1109/tpel.2025.3580291</x:v>
      </x:c>
      <x:c r="H3" s="61" t="str">
        <x:v>https://www.semanticscholar.org/paper/bab90569ebf1bf179e3dd225d1bb93e9360e0f62</x:v>
      </x:c>
      <x:c r="I3" s="61" t="str">
        <x:v>Target batteries lack SOH labels and differ by temperature, chemistry, and charge/discharge strategy.</x:v>
      </x:c>
      <x:c r="J3" s="61" t="str">
        <x:v>Lightweight deep domain feature independent alignment with dynamic convolution and feature-space independent alignment.</x:v>
      </x:c>
      <x:c r="K3" s="61" t="str">
        <x:v>Three lithium-ion datasets across temperatures, materials, and operating conditions; names absent from abstract metadata.</x:v>
      </x:c>
      <x:c r="L3" s="61" t="str">
        <x:v>Source labels plus early unlabeled target charging sequences.</x:v>
      </x:c>
      <x:c r="M3" s="61" t="str">
        <x:v>30% early target charging data used without labels; average MAE 0.0098; relative improvements reported against GRU-FIAN, DANN, and LSTM.</x:v>
      </x:c>
      <x:c r="N3" s="61" t="str">
        <x:v>not_found_in_retrieved_metadata</x:v>
      </x:c>
      <x:c r="O3" s="61" t="str">
        <x:v>Would require a new protocol and domain-alignment loss; cannot be claimed using B0007/B0018 adaptation labels.</x:v>
      </x:c>
      <x:c r="P3" s="61" t="str">
        <x:v>Moderate-to-high conceptual fit, but current 60/20/20 protocol uses target labels and is not label-free.</x:v>
      </x:c>
      <x:c r="Q3" s="61" t="str">
        <x:v>verified_semantic_scholar</x:v>
      </x:c>
      <x:c r="R3" s="61" t="str">
        <x:v>verified</x:v>
      </x:c>
      <x:c r="S3" s="61" t="str">
        <x:v>True</x:v>
      </x:c>
      <x:c r="T3" s="61" t="str">
        <x:v>VERIFIED</x:v>
      </x:c>
      <x:c r="U3" s="61" t="str">
        <x:v>VI_single_computational_or_experimental_study</x:v>
      </x:c>
      <x:c r="V3" s="61" t="str">
        <x:v>not_reported_in_retrieved_metadata</x:v>
      </x:c>
      <x:c r="W3" s="61" t="str">
        <x:v>Estimating the state of health (SOH) of batteries is critical for ensuring the battery’s safe operation and extending its service life. However, the accuracy and application of SOH estimation methods are limited by insufficient labeled training data and different usage scenarios. To address these issues, a label-free SOH estimation method for lithium-ion batteries is proposed, which is based on a lightweight deep domain feature independent alignment network (DDFIAN) model. In this model, dynamic convolutional layers with a convolutional kernel attention mechanism are designed as feature extractors to capture both domain-invariant and domain-specific features from battery charging data. On this basis, feature space independent alignment (FSIA) methods are utilized to enable unsupervised SOH estimation transfer learning, allowing the DDFIAN model to effectively learn the shared features of the source and target domain battery datasets while preserving the battery-specific information. Finally, the proposed method is validated on three lithium-ion battery datasets under varying temperatures, materials, and operating conditions (charge and discharge strategies). The results demonstrate that the proposed method effectively estimates SOH in multicondition transfer learning scenarios, using 30% of the early stage unlabeled charging data from the target domain. The method achieves an average MAE of 0.0098, improving SOH estimation accuracy by 50%, 70%, and 90% compared to the GRU-FIAN, DANN, and LSTM models, respectively.</x:v>
      </x:c>
    </x:row>
    <x:row r="4">
      <x:c r="A4" s="61" t="str">
        <x:v>10.1109/tte.2024.3471867</x:v>
      </x:c>
      <x:c r="B4" s="61" t="str">
        <x:v>State of Health Estimation of Lithium-Ion Batteries Using Data Augmentation and Feature Mapping</x:v>
      </x:c>
      <x:c r="C4" s="61" t="str">
        <x:v>W. Yao; Rucong Lai; Yong Tian; Xiaoyu Li; Jindong Tian</x:v>
      </x:c>
      <x:c r="D4" s="61" t="str">
        <x:v>2025-02-01</x:v>
      </x:c>
      <x:c r="E4" s="61" t="str">
        <x:v>IEEE Transactions on Transportation Electrification</x:v>
      </x:c>
      <x:c r="F4" s="61" t="str">
        <x:v>journal-article</x:v>
      </x:c>
      <x:c r="G4" s="61" t="str">
        <x:v>https://doi.org/10.1109/tte.2024.3471867</x:v>
      </x:c>
      <x:c r="H4" s="61" t="str">
        <x:v>https://www.semanticscholar.org/paper/8fb051e6f3ec08945180ab855cf9ac7bb4c4d6e1</x:v>
      </x:c>
      <x:c r="I4" s="61" t="str">
        <x:v>Small battery datasets are slow to collect and models adapt poorly across batteries.</x:v>
      </x:c>
      <x:c r="J4" s="61" t="str">
        <x:v>GAN augmentation with consistent Gaussian noise plus a feature-mapping module to reduce cross-dataset differences.</x:v>
      </x:c>
      <x:c r="K4" s="61" t="str">
        <x:v>Multiple battery datasets/samples; exact names absent from abstract metadata.</x:v>
      </x:c>
      <x:c r="L4" s="61" t="str">
        <x:v>Limited source cycles and cross-battery evaluation data.</x:v>
      </x:c>
      <x:c r="M4" s="61" t="str">
        <x:v>About 87% of 60 samples improved after augmentation; average AE below 2%; feature mapping RMSE below 1% and half below 0.5%.</x:v>
      </x:c>
      <x:c r="N4" s="61" t="str">
        <x:v>not_found_in_retrieved_metadata</x:v>
      </x:c>
      <x:c r="O4" s="61" t="str">
        <x:v>Retain as baseline lineage evidence, not a second GAN innovation.</x:v>
      </x:c>
      <x:c r="P4" s="61" t="str">
        <x:v>Already overlaps the reproduced paper's SCF-GAN/small-sample premise; poor novelty as another main innovation.</x:v>
      </x:c>
      <x:c r="Q4" s="61" t="str">
        <x:v>verified_semantic_scholar</x:v>
      </x:c>
      <x:c r="R4" s="61" t="str">
        <x:v>verified</x:v>
      </x:c>
      <x:c r="S4" s="61" t="str">
        <x:v>True</x:v>
      </x:c>
      <x:c r="T4" s="61" t="str">
        <x:v>VERIFIED</x:v>
      </x:c>
      <x:c r="U4" s="61" t="str">
        <x:v>VI_single_computational_or_experimental_study</x:v>
      </x:c>
      <x:c r="V4" s="61" t="str">
        <x:v>not_reported_in_retrieved_metadata</x:v>
      </x:c>
      <x:c r="W4" s="61" t="str">
        <x:v>Accurate state of health (SOH) estimation is crucial for the operating safety and reliability of lithium-ion batteries (LIBs). Currently, data-driven SOH estimation methods have been widely used in both academic and industrial communities. Nevertheless, they are still confronted with challenges, including time-consuming data collection and poor adaptability to different batteries. This article proposes a deep learning framework with a generative adversarial network (GAN) for data augmentation and a feature mapping module. To make the GAN’s generator learn feature distribution of limited original data better, consistent Gaussian noise is applied to the same cycle sequence during data generation. In consideration of the prominent noises introduced by the GAN to short-cycle batteries, a feature mapping module is proposed to reduce the difference in features of different battery datasets. Experiments using estimators trained on different batteries and directly transferred to other batteries are carried out. Results indicated that the accuracy of about 87% of the total 60 samples is improved after data augmentation, and the average absolute error (AE) is below 2%. Furthermore, the embedded feature mapping module achieves a root mean square error (RMSE) of lower than 1%, and half of them are below 0.5%.</x:v>
      </x:c>
    </x:row>
    <x:row r="5">
      <x:c r="A5" s="61" t="str">
        <x:v>10.1109/tte.2026.3686077</x:v>
      </x:c>
      <x:c r="B5" s="61" t="str">
        <x:v>Physics-Informed Deep Gated Recurrent Unit Network for Lithium-Ion Battery State of Health Estimation Under Field Conditions</x:v>
      </x:c>
      <x:c r="C5" s="61" t="str">
        <x:v>Laijin Luo; Yu Wang; Yang Li; Qiushi Cui</x:v>
      </x:c>
      <x:c r="D5" s="61" t="str">
        <x:v>2026-08-01</x:v>
      </x:c>
      <x:c r="E5" s="61" t="str">
        <x:v>IEEE Transactions on Transportation Electrification</x:v>
      </x:c>
      <x:c r="F5" s="61" t="str">
        <x:v>journal-article</x:v>
      </x:c>
      <x:c r="G5" s="61" t="str">
        <x:v>https://doi.org/10.1109/tte.2026.3686077</x:v>
      </x:c>
      <x:c r="H5" s="61" t="str">
        <x:v>https://www.semanticscholar.org/paper/fc914c4a28f25fd4464d8d42d9851916d2ec736b</x:v>
      </x:c>
      <x:c r="I5" s="61" t="str">
        <x:v>Field EV data have unreliable SOH labels, segmented charging, domain shift, and weak interpretability.</x:v>
      </x:c>
      <x:c r="J5" s="61" t="str">
        <x:v>Capacity/uncertainty estimation with modified inverse ampere-hour integration and BEAST, feature screening, PIDGRU/DeepHPM, and Bayesian uncertainty-constrained training.</x:v>
      </x:c>
      <x:c r="K5" s="61" t="str">
        <x:v>In-vehicle and cross-vehicle datasets; identifiers absent from abstract metadata.</x:v>
      </x:c>
      <x:c r="L5" s="61" t="str">
        <x:v>Segmented real-vehicle charging data and a defensible capacity/SOH reference process.</x:v>
      </x:c>
      <x:c r="M5" s="61" t="str">
        <x:v>MAE below 1.10% and RMSE below 1.31% across reported evaluations.</x:v>
      </x:c>
      <x:c r="N5" s="61" t="str">
        <x:v>not_found_in_retrieved_metadata</x:v>
      </x:c>
      <x:c r="O5" s="61" t="str">
        <x:v>Possible inspiration for uncertainty-aware partial-trajectory handling only after compatible public data are secured.</x:v>
      </x:c>
      <x:c r="P5" s="61" t="str">
        <x:v>Pain point is highly relevant, but copying the full PIDGRU/DeepHPM would violate the one-module and no-full-PINN constraints.</x:v>
      </x:c>
      <x:c r="Q5" s="61" t="str">
        <x:v>verified_semantic_scholar</x:v>
      </x:c>
      <x:c r="R5" s="61" t="str">
        <x:v>verified</x:v>
      </x:c>
      <x:c r="S5" s="61" t="str">
        <x:v>True</x:v>
      </x:c>
      <x:c r="T5" s="61" t="str">
        <x:v>VERIFIED</x:v>
      </x:c>
      <x:c r="U5" s="61" t="str">
        <x:v>VI_single_computational_or_experimental_study</x:v>
      </x:c>
      <x:c r="V5" s="61" t="str">
        <x:v>not_reported_in_retrieved_metadata</x:v>
      </x:c>
      <x:c r="W5" s="61" t="str">
        <x:v>Accurate estimation of lithium-ion battery state of health (SOH) in electric vehicles (EVs) under real-world conditions is much more challenging than using well-designed laboratory cycling data due to unreliable SOH labeling and segmented charging behavior, and the results often lack interpretability. To address these issues, this article proposes a physics-informed deep gated recurrent unit (PIDGRU) architecture for robust and interpretable SOH estimation without requiring explicit physical modeling. First, a modified inverse ampere-hour integral method is combined with the Bayesian estimator of abrupt, seasonality, and trend (BEAST) algorithm to estimate battery capacity and characterize SOH uncertainty. A universal feature extraction and selection framework is then developed to handle segmented EV charging data, utilizing a hybrid linear–nonlinear redundancy analysis to ensure an optimal input feature set. The PIDGRU integrates empirical degradation modeling and nonlinear dynamic degradation learning through a deep gated recurrent unit (GRU) network, utilizing a deep hidden physics model (DeepHPM). A Bayesian inference uncertainty-constrained (BIUC) strategy is introduced to enhance training reliability and uncertainty quantification. Extensive evaluations on both in-vehicle and cross-vehicle datasets demonstrate that the proposed method achieves high accuracy, robustness, and generalizability, with the mean absolute error (MAE) and root-mean-squared error consistently below 1.10% and 1.31%, respectively.</x:v>
      </x:c>
    </x:row>
    <x:row r="6">
      <x:c r="A6" s="61" t="str">
        <x:v>10.1109/tte.2025.3533540</x:v>
      </x:c>
      <x:c r="B6" s="61" t="str">
        <x:v>Transfer Learning-Based Lithium-Ion Battery State of Health Estimation With Electrochemical Impedance Spectroscopy</x:v>
      </x:c>
      <x:c r="C6" s="61" t="str">
        <x:v>Mingqiang Lin; Dingcai Hu; Jinhao Meng; Ji Wu</x:v>
      </x:c>
      <x:c r="D6" s="61" t="str">
        <x:v>2025-06-01</x:v>
      </x:c>
      <x:c r="E6" s="61" t="str">
        <x:v>IEEE Transactions on Transportation Electrification</x:v>
      </x:c>
      <x:c r="F6" s="61" t="str">
        <x:v>journal-article</x:v>
      </x:c>
      <x:c r="G6" s="61" t="str">
        <x:v>https://doi.org/10.1109/tte.2025.3533540</x:v>
      </x:c>
      <x:c r="H6" s="61" t="str">
        <x:v>https://www.semanticscholar.org/paper/7eab7f1de6b84f7e8e0c9e13b06c2e8cc0309ec0</x:v>
      </x:c>
      <x:c r="I6" s="61" t="str">
        <x:v>SOH models must generalize across temperature and cell type while retaining physical interpretability.</x:v>
      </x:c>
      <x:c r="J6" s="61" t="str">
        <x:v>Equivalent-circuit features from EIS, spatiotemporal LSTM, and transfer learning.</x:v>
      </x:c>
      <x:c r="K6" s="61" t="str">
        <x:v>Two public EIS datasets; names absent from abstract metadata.</x:v>
      </x:c>
      <x:c r="L6" s="61" t="str">
        <x:v>EIS spectra and equivalent-circuit fitting.</x:v>
      </x:c>
      <x:c r="M6" s="61" t="str">
        <x:v>Overall RMSE below 1.9%; more than 80% accuracy improvement over ST-LSTM reported by authors.</x:v>
      </x:c>
      <x:c r="N6" s="61" t="str">
        <x:v>not_found_in_retrieved_metadata</x:v>
      </x:c>
      <x:c r="O6" s="61" t="str">
        <x:v>Do not add EIS merely to chase accuracy; it changes sensing assumptions and available inputs.</x:v>
      </x:c>
      <x:c r="P6" s="61" t="str">
        <x:v>Low direct feasibility because the current HF/STL pipeline does not use dense EIS spectra.</x:v>
      </x:c>
      <x:c r="Q6" s="61" t="str">
        <x:v>verified_semantic_scholar</x:v>
      </x:c>
      <x:c r="R6" s="61" t="str">
        <x:v>verified</x:v>
      </x:c>
      <x:c r="S6" s="61" t="str">
        <x:v>True</x:v>
      </x:c>
      <x:c r="T6" s="61" t="str">
        <x:v>VERIFIED</x:v>
      </x:c>
      <x:c r="U6" s="61" t="str">
        <x:v>VI_single_computational_or_experimental_study</x:v>
      </x:c>
      <x:c r="V6" s="61" t="str">
        <x:v>not_reported_in_retrieved_metadata</x:v>
      </x:c>
      <x:c r="W6" s="61" t="str">
        <x:v>Lithium-ion batteries are utilized as energy storage units in mobile devices, electric vehicles, and other fields. To ensure the safety and reliability of batteries, the prediction of the batteries’ state of health (SOH) is one of the key technologies. This article proposes a transfer learning-based lithium-ion battery SOH estimation method using explainable electrochemical impedance spectroscopy (EIS). EIS has advantages such as explainability, rapid response, and noninvasiveness. Benefiting these, the physical parameters are extracted as the battery aging features by fitting an equivalent circuit model with the EIS measurement. To increase the representational power of the model and capture the complex sequential styles, a spatiotemporal long short-term memory (LSTM) network model is built to extract the time series features. Finally, the battery degradation features are fit through a fully connected layer. To improve the model’s generalization, a transfer learning strategy is added to estimate the SOH of the target cell by fine-tuning the initial model parameters on different temperatures and different types of cells. The proposed method, TL-ST-LSTM, has been validated on two public datasets, with an overall root-mean-square error (RMSE) error controlled within 1.9%. Compared to the spatiotemporal LSTM (ST-LSTM) method without transfer learning, the accuracy has been improved by over 80%. In addition, it also demonstrates an improvement in accuracy compared to existing transfer learning methods, such as TL-CNN and TL-LSTM.</x:v>
      </x:c>
    </x:row>
    <x:row r="7">
      <x:c r="A7" s="61" t="str">
        <x:v>10.1109/access.2025.3636613</x:v>
      </x:c>
      <x:c r="B7" s="61" t="str">
        <x:v>Aging and Performance Analysis of 18650 Lithium-Ion Cell Capacity Degradation: Data-Driven Insights and Modeling</x:v>
      </x:c>
      <x:c r="C7" s="61" t="str">
        <x:v>Víctor Olivero-Ortiz; Ingrid Oliveros; Carlos A. Robles-Algarín</x:v>
      </x:c>
      <x:c r="D7" s="61" t="str">
        <x:v>2025</x:v>
      </x:c>
      <x:c r="E7" s="61" t="str">
        <x:v>IEEE Access</x:v>
      </x:c>
      <x:c r="F7" s="61" t="str">
        <x:v>journal-article</x:v>
      </x:c>
      <x:c r="G7" s="61" t="str">
        <x:v>https://doi.org/10.1109/access.2025.3636613</x:v>
      </x:c>
      <x:c r="H7" s="61" t="str">
        <x:v>https://www.semanticscholar.org/paper/96273eb6c0e4c72c2c6b28bd71da3e271c75d376</x:v>
      </x:c>
      <x:c r="I7" s="61" t="str">
        <x:v>Second-life screening needs interpretable, low-cost operational indicators and predictive uncertainty.</x:v>
      </x:c>
      <x:c r="J7" s="61" t="str">
        <x:v>Cycle segmentation, cycle-time/internal-impedance indicators, and Gaussian-process regression with multiple kernels.</x:v>
      </x:c>
      <x:c r="K7" s="61" t="str">
        <x:v>Two 18650 cells, 99 cycles, under 3C/1C and 2C/2C profiles from an open degradation dataset.</x:v>
      </x:c>
      <x:c r="L7" s="61" t="str">
        <x:v>Voltage, current, temperature, cycle time, capacity, and optionally DC impedance.</x:v>
      </x:c>
      <x:c r="M7" s="61" t="str">
        <x:v>Best charge RMSE 2.217-4.606 mAh; discharge RMSE 3.166-3.518 mAh; cycle time outperformed impedance-only features.</x:v>
      </x:c>
      <x:c r="N7" s="61" t="str">
        <x:v>not_found_in_retrieved_metadata</x:v>
      </x:c>
      <x:c r="O7" s="61" t="str">
        <x:v>Useful counter-evidence that feature relevance can matter more than a complex neural architecture.</x:v>
      </x:c>
      <x:c r="P7" s="61" t="str">
        <x:v>Moderate fit for uncertainty or operational-feature diagnostics; small two-cell evidence limits generalization.</x:v>
      </x:c>
      <x:c r="Q7" s="61" t="str">
        <x:v>verified_semantic_scholar</x:v>
      </x:c>
      <x:c r="R7" s="61" t="str">
        <x:v>verified</x:v>
      </x:c>
      <x:c r="S7" s="61" t="str">
        <x:v>True</x:v>
      </x:c>
      <x:c r="T7" s="61" t="str">
        <x:v>VERIFIED</x:v>
      </x:c>
      <x:c r="U7" s="61" t="str">
        <x:v>VI_single_computational_or_experimental_study</x:v>
      </x:c>
      <x:c r="V7" s="61" t="str">
        <x:v>not_reported_in_retrieved_metadata</x:v>
      </x:c>
      <x:c r="W7" s="61" t="str">
        <x:v>This work analyzes and models degradation in 18650 lithium-ion cells using segmented experimental charge–discharge data (99 cycles under two cycling profiles, 3C/1C and 2C/2C). Beyond raw electrical and thermal measurements (voltage, current, and temperature), we derive operational indicators—mainly cycle time (charge/discharge duration) and internal impedance—to capture nonlinear relationships with capacity. Gaussian Process Regression (GPR) with multiple kernels (RBF, Rational Quadratic, Matérn, plus white noise) is used to predict capacity from these features. Quantitative results indicate that cycle-time features are the most predictive variables. During charging, the top configurations achieve RMSE values of 2.217–4.606 mAh and MAE values of 1.411–3.290 mAh across two cells. During discharge, the best models reach RMSE values of 3.166–3.518 mAh and MAE of 2.186–2.192 mAh. In contrast, impedance-only settings produce significantly higher errors — RMSE approximately 138–182 mAh during charging and roughly 11.281–11.683 mAh during discharging (MAE approximately 9.159–9.416 mAh) — demonstrating their limited usefulness when used alone under the studied regimes. These results confirm the effectiveness of the proposed GPR plus operational features methodology and show that feature selection has a greater impact on accuracy than kernel choice. The approach delivers low absolute error, stable predictive distributions, and consistent phase performance, supporting SOH/RUL estimation and second-life cell screening. The cycle segmentation based on fragmentation further improves interpretability and model design, offering a practical route toward reliable battery management and sustainable second-life applications.</x:v>
      </x:c>
    </x:row>
    <x:row r="8">
      <x:c r="A8" s="61" t="str">
        <x:v>10.1109/flics70075.2026.11621953</x:v>
      </x:c>
      <x:c r="B8" s="61" t="str">
        <x:v>Battery State of Health Estimation via Federated Learning on Diverse Data from Multiple Sources</x:v>
      </x:c>
      <x:c r="C8" s="61" t="str">
        <x:v>V. Dimitrievska; Andrea Urgolo; Manuel Freiberger; K. Unger</x:v>
      </x:c>
      <x:c r="D8" s="61" t="str">
        <x:v>2026-06-01</x:v>
      </x:c>
      <x:c r="E8" s="61" t="str">
        <x:v>2026 2nd International Conference on Federated Learning and Intelligent Computing Systems (FLICS)</x:v>
      </x:c>
      <x:c r="F8" s="61" t="str">
        <x:v>proceedings-article</x:v>
      </x:c>
      <x:c r="G8" s="61" t="str">
        <x:v>https://doi.org/10.1109/flics70075.2026.11621953</x:v>
      </x:c>
      <x:c r="H8" s="61" t="str">
        <x:v>https://www.semanticscholar.org/paper/525c2d46901a2ff893264ab0dd6b5487bc380886</x:v>
      </x:c>
      <x:c r="I8" s="61" t="str">
        <x:v>Models are confined to individual chemistries and laboratory datasets; distributed data cannot always be shared.</x:v>
      </x:c>
      <x:c r="J8" s="61" t="str">
        <x:v>Comparison of federated-learning strategies over heterogeneous multi-source SOH datasets.</x:v>
      </x:c>
      <x:c r="K8" s="61" t="str">
        <x:v>Three public datasets; names and quantitative results absent from abstract metadata.</x:v>
      </x:c>
      <x:c r="L8" s="61" t="str">
        <x:v>Multiple partitionable datasets representing separate clients/sources.</x:v>
      </x:c>
      <x:c r="M8" s="61" t="str">
        <x:v>Abstract reports a detailed performance assessment but provides no numeric metric.</x:v>
      </x:c>
      <x:c r="N8" s="61" t="str">
        <x:v>not_found_in_retrieved_metadata</x:v>
      </x:c>
      <x:c r="O8" s="61" t="str">
        <x:v>Evidence for heterogeneity/privacy as a gap; not yet a suitable minimal module.</x:v>
      </x:c>
      <x:c r="P8" s="61" t="str">
        <x:v>Low-to-moderate: realistic but introduces a distributed training system, which is too broad for one clean G-MTC innovation.</x:v>
      </x:c>
      <x:c r="Q8" s="61" t="str">
        <x:v>verified_semantic_scholar</x:v>
      </x:c>
      <x:c r="R8" s="61" t="str">
        <x:v>verified</x:v>
      </x:c>
      <x:c r="S8" s="61" t="str">
        <x:v>True</x:v>
      </x:c>
      <x:c r="T8" s="61" t="str">
        <x:v>VERIFIED</x:v>
      </x:c>
      <x:c r="U8" s="61" t="str">
        <x:v>VI_single_computational_or_experimental_study</x:v>
      </x:c>
      <x:c r="V8" s="61" t="str">
        <x:v>not_reported_in_retrieved_metadata</x:v>
      </x:c>
      <x:c r="W8" s="61" t="str">
        <x:v>Accurate battery health estimation is crucial for ensuring the safety, reliability, and optimal performance of electric vehicles. In recent years, machine learning models have achieved high accuracy in predicting battery State-of-health (SOH), but their performance typically remains limited to specific battery chemistries and custom laboratory datasets. To address this limitation, our work aims to develop and evaluate a unified SOH prediction framework capable of learning from diverse battery types and heterogeneous datasets collected across multiple sources. This approach represents a step toward future largescale, privacy-preserving SOH modeling, where models can be continuously improved using distributed private datasets without requiring direct data sharing. In this paper, we evaluate several federated learning strategies for battery SOH prediction applied to three public datasets, and we provide a detailed performance assessment alongside an analysis of the key challenges associated with learning from heterogeneous and distributed battery data.</x:v>
      </x:c>
    </x:row>
    <x:row r="9">
      <x:c r="A9" s="61" t="str">
        <x:v>10.1109/eurocon64445.2025.11073369</x:v>
      </x:c>
      <x:c r="B9" s="61" t="str">
        <x:v>Battery Time-Series Data Augmentation Using a GAF-Based Generative Framework</x:v>
      </x:c>
      <x:c r="C9" s="61" t="str">
        <x:v>Opy Das; Xin Sui; Filippo Sanfilippo; S. Rudra</x:v>
      </x:c>
      <x:c r="D9" s="61" t="str">
        <x:v>2025-06-04</x:v>
      </x:c>
      <x:c r="E9" s="61" t="str">
        <x:v>EUROCON Conference</x:v>
      </x:c>
      <x:c r="F9" s="61" t="str">
        <x:v>proceedings-article</x:v>
      </x:c>
      <x:c r="G9" s="61" t="str">
        <x:v>https://doi.org/10.1109/eurocon64445.2025.11073369</x:v>
      </x:c>
      <x:c r="H9" s="61" t="str">
        <x:v>https://www.semanticscholar.org/paper/e4e093d7dbc06c851989f1a24b104e0f2a19c8c5</x:v>
      </x:c>
      <x:c r="I9" s="61" t="str">
        <x:v>Battery time-series data are scarce for downstream state estimation.</x:v>
      </x:c>
      <x:c r="J9" s="61" t="str">
        <x:v>Gramian angular field encoding, DCGAN image synthesis, and inverse GAF reconstruction.</x:v>
      </x:c>
      <x:c r="K9" s="61" t="str">
        <x:v>MIT battery dataset; voltage, current, and temperature sequences.</x:v>
      </x:c>
      <x:c r="L9" s="61" t="str">
        <x:v>Dense time-series signals suitable for GAF conversion.</x:v>
      </x:c>
      <x:c r="M9" s="61" t="str">
        <x:v>Augmented data improved downstream SOC estimation; abstract metadata gives no exact SOH/RMSE result.</x:v>
      </x:c>
      <x:c r="N9" s="61" t="str">
        <x:v>not_found_in_retrieved_metadata</x:v>
      </x:c>
      <x:c r="O9" s="61" t="str">
        <x:v>Exclude as the main innovation despite thematic relevance.</x:v>
      </x:c>
      <x:c r="P9" s="61" t="str">
        <x:v>Low novelty because G-MTC already contains SCF-GAN; replacing it would violate the frozen architecture.</x:v>
      </x:c>
      <x:c r="Q9" s="61" t="str">
        <x:v>verified_semantic_scholar</x:v>
      </x:c>
      <x:c r="R9" s="61" t="str">
        <x:v>verified</x:v>
      </x:c>
      <x:c r="S9" s="61" t="str">
        <x:v>True</x:v>
      </x:c>
      <x:c r="T9" s="61" t="str">
        <x:v>VERIFIED</x:v>
      </x:c>
      <x:c r="U9" s="61" t="str">
        <x:v>VI_single_computational_or_experimental_study</x:v>
      </x:c>
      <x:c r="V9" s="61" t="str">
        <x:v>not_reported_in_retrieved_metadata</x:v>
      </x:c>
      <x:c r="W9" s="61" t="str">
        <x:v>Generative models have gained significant attention in computer vision and natural language processing for their ability to generate realistic samples from complex data distributions. Inspired by these advancements and the persistent challenge of data scarcity in time-series domains, this work proposes a pioneering framework that transforms time-series data (e.g., voltage, current, temperature of lithium-ion batteries) into Gramian Angular Field (GAF) images for synthetic data generation using deep convolutional generative adversarial network (DCGAN) architecture. The proposed GAF-based GAN framework, validated on the Massachusetts Institute of Technology (MIT) battery dataset, generates samples that closely resemble real data and enables accurate signal reconstruction through inverse GAF transformation, effectively overcoming scale invariance and invertibility issues. To further demonstrate the quality of the synthetic signals, state of charge estimation (SOC) is performed using both original and augmented datasets. The results present that using augmented datasets help the models perform better than when trained only on the original data, highlighting the effectiveness of the proposed method for improving time-series data augmentation and state estimation.</x:v>
      </x:c>
    </x:row>
    <x:row r="10">
      <x:c r="A10" s="61" t="str">
        <x:v>10.1109/jestie.2025.3618621</x:v>
      </x:c>
      <x:c r="B10" s="61" t="str">
        <x:v>Explainable MFDWA-GRU Model for Battery State of Health Estimation</x:v>
      </x:c>
      <x:c r="C10" s="61" t="str">
        <x:v>Anantha Padmanabhan; S. Mate; Rajeev Kumar Singh; S. Singh</x:v>
      </x:c>
      <x:c r="D10" s="61" t="str">
        <x:v>2026-01-01</x:v>
      </x:c>
      <x:c r="E10" s="61" t="str">
        <x:v>IEEE Journal of Emerging and Selected Topics in Industrial Electronics</x:v>
      </x:c>
      <x:c r="F10" s="61" t="str">
        <x:v>journal-article</x:v>
      </x:c>
      <x:c r="G10" s="61" t="str">
        <x:v>https://doi.org/10.1109/jestie.2025.3618621</x:v>
      </x:c>
      <x:c r="H10" s="61" t="str">
        <x:v>https://www.semanticscholar.org/paper/4619d00916c22d76c4d2194a4e865199594f0c7a</x:v>
      </x:c>
      <x:c r="I10" s="61" t="str">
        <x:v>SOH models need robustness across initial conditions, battery combinations, horizons, and interpretable feature influence.</x:v>
      </x:c>
      <x:c r="J10" s="61" t="str">
        <x:v>Multibranch dilated TCN with attention/dynamic weights, GRU, and SHAP explanations.</x:v>
      </x:c>
      <x:c r="K10" s="61" t="str">
        <x:v>Multiple datasets; names and numeric errors absent from abstract metadata.</x:v>
      </x:c>
      <x:c r="L10" s="61" t="str">
        <x:v>Multivariate degradation sequences and post-hoc SHAP computation.</x:v>
      </x:c>
      <x:c r="M10" s="61" t="str">
        <x:v>Authors report lower MAE/RMSE across multiple datasets, without numeric values in the retrieved abstract.</x:v>
      </x:c>
      <x:c r="N10" s="61" t="str">
        <x:v>not_found_in_retrieved_metadata</x:v>
      </x:c>
      <x:c r="O10" s="61" t="str">
        <x:v>SHAP could be a reporting tool, but is not by itself a predictive innovation.</x:v>
      </x:c>
      <x:c r="P10" s="61" t="str">
        <x:v>Moderate for diagnostics, low for replacing the existing TimesNet/iTransformer branches.</x:v>
      </x:c>
      <x:c r="Q10" s="61" t="str">
        <x:v>verified_semantic_scholar</x:v>
      </x:c>
      <x:c r="R10" s="61" t="str">
        <x:v>verified</x:v>
      </x:c>
      <x:c r="S10" s="61" t="str">
        <x:v>True</x:v>
      </x:c>
      <x:c r="T10" s="61" t="str">
        <x:v>VERIFIED</x:v>
      </x:c>
      <x:c r="U10" s="61" t="str">
        <x:v>VI_single_computational_or_experimental_study</x:v>
      </x:c>
      <x:c r="V10" s="61" t="str">
        <x:v>not_reported_in_retrieved_metadata</x:v>
      </x:c>
      <x:c r="W10" s="61" t="str">
        <x:v>The operational safety of lithium-ion batteries is heavily dependent on accurate battery state of health (SOH) assessments. This article introduces a novel hybrid algorithm: A multifaceted temporal convolutional network with dynamic weight adaptation (MFDWA) combined with a gated recurrent unit (GRU) to estimate the SOH of lithium-ion batteries across various experimental setups. The MFDWA architecture includes multiple temporal convolutional network (TCN) branches, each containing a dilated TCN block, attention blocks, and dynamic weight adaptation components. This multibranch structure captures multiscale patterns through different dilation rates, while attention blocks select essential input features. The dynamic weight adaptation mechanism further enhances performance by addressing evolving battery dynamics. The GRU component tracks temporal information sequences by retaining relevant past states. The proposed hybrid algorithm performs better than the existing state-of-the-art methods, achieving lower mean absolute error and root mean square error values across multiple datasets while maintaining parameter compatibility. These results indicate the model’s robustness across different initial conditions, battery combinations, and varying prediction horizons. In addition, the integration of explainable artificial intelligence through the SHapley Additive exPlanations technique in the proposed hybrid model prioritizes input features, improves model performance, and enhances interpretability, thus fostering user trust.</x:v>
      </x:c>
    </x:row>
    <x:row r="11">
      <x:c r="A11" s="61" t="str">
        <x:v>10.1109/sas65169.2025.11105130</x:v>
      </x:c>
      <x:c r="B11" s="61" t="str">
        <x:v>An Innovative Magnetic Field Sensor based Method Predicting Lithium-ion Battery State-of-health</x:v>
      </x:c>
      <x:c r="C11" s="61" t="str">
        <x:v>Ze Hui; Mohamed Mamlouk; Jie Zhang; Deepayan Bhowmik</x:v>
      </x:c>
      <x:c r="D11" s="61" t="str">
        <x:v>2025-07-08</x:v>
      </x:c>
      <x:c r="E11" s="61" t="str">
        <x:v>Sensors Applications Symposium</x:v>
      </x:c>
      <x:c r="F11" s="61" t="str">
        <x:v>proceedings-article</x:v>
      </x:c>
      <x:c r="G11" s="61" t="str">
        <x:v>https://doi.org/10.1109/sas65169.2025.11105130</x:v>
      </x:c>
      <x:c r="H11" s="61" t="str">
        <x:v>https://www.semanticscholar.org/paper/16b08745f93f79f3d38965c714a0cdd9548a6295</x:v>
      </x:c>
      <x:c r="I11" s="61" t="str">
        <x:v>Indirect BMS signals may miss structural aging and safety-relevant current inhomogeneity.</x:v>
      </x:c>
      <x:c r="J11" s="61" t="str">
        <x:v>External magnetic-field sensing with PLSR and CNN models.</x:v>
      </x:c>
      <x:c r="K11" s="61" t="str">
        <x:v>Dedicated magnetic sensor measurements during charge/discharge; sample details absent from abstract metadata.</x:v>
      </x:c>
      <x:c r="L11" s="61" t="str">
        <x:v>A magnetic sensing device not present in NASA data.</x:v>
      </x:c>
      <x:c r="M11" s="61" t="str">
        <x:v>Reported R2 = 0.92.</x:v>
      </x:c>
      <x:c r="N11" s="61" t="str">
        <x:v>not_found_in_retrieved_metadata</x:v>
      </x:c>
      <x:c r="O11" s="61" t="str">
        <x:v>Exclude unless new hardware data are legally obtained; do not synthesize missing sensor values.</x:v>
      </x:c>
      <x:c r="P11" s="61" t="str">
        <x:v>Very low implementation feasibility with current data despite strong application motivation.</x:v>
      </x:c>
      <x:c r="Q11" s="61" t="str">
        <x:v>verified_semantic_scholar</x:v>
      </x:c>
      <x:c r="R11" s="61" t="str">
        <x:v>verified</x:v>
      </x:c>
      <x:c r="S11" s="61" t="str">
        <x:v>True</x:v>
      </x:c>
      <x:c r="T11" s="61" t="str">
        <x:v>VERIFIED</x:v>
      </x:c>
      <x:c r="U11" s="61" t="str">
        <x:v>VI_single_computational_or_experimental_study</x:v>
      </x:c>
      <x:c r="V11" s="61" t="str">
        <x:v>not_reported_in_retrieved_metadata</x:v>
      </x:c>
      <x:c r="W11" s="61" t="str">
        <x:v>As a portable energy storage device, lithium-ion batteries are widely used in various industries. However, with the increasing number of consumers, the number of accidents caused by the instability of aging lithium-ion batteries, such as spontaneous combustion due to thermal runaway, has also increased, raising significant safety concerns among consumers and manufacturers. Battery aging is fundamentally the result of structural changes within the cell, which are presented as phenomena such as swelling of the battery. These internal structural alterations lead to an inhomogeneous current distribution during operation, further exacerbating the instability of the battery. To address the above issue, we propose an innovative magnetic sensor-based battery state-of-health prediction method that differs from traditional state-of-health prediction approaches, such as data-driven models and equivalent circuit-based methods. Instead of relying on indirect data analysis, our approach employs a magnetic field sensing device to capture real-time variations in the battery magnetic field during charging and discharging. A traditional partial least squares regression(PLSR) model and a convolutional neural network (CNN) are trained to capture the evolving characteristics of the battery’s surface magnetic field, which grows increasingly inhomogeneous with aging. By directly utilizing the intrinsic properties of the battery instead of relying on secondary data analysis to infer lifespan, our method achieves a high R2 value of 0.92, providing a non-destructive, more precise, and reliable approach to predicting battery state-of-health.</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8" hidden="0" customWidth="1"/>
    <x:col min="3" max="3" width="18" hidden="0" customWidth="1"/>
    <x:col min="4" max="4" width="18" hidden="0" customWidth="1"/>
    <x:col min="5" max="5" width="18" hidden="0" customWidth="1"/>
    <x:col min="6" max="6" width="18" hidden="0" customWidth="1"/>
    <x:col min="7" max="7" width="42" hidden="0" customWidth="1"/>
    <x:col min="8" max="8" width="18" hidden="0" customWidth="1"/>
    <x:col min="9" max="9" width="18" hidden="0" customWidth="1"/>
    <x:col min="10" max="10" width="34" hidden="0" customWidth="1"/>
    <x:col min="11" max="11" width="20" hidden="0" customWidth="1"/>
    <x:col min="12" max="12" width="48" hidden="0" customWidth="1"/>
  </x:cols>
  <x:sheetData>
    <x:row r="1" ht="32" customHeight="1">
      <x:c r="A1" s="60" t="str">
        <x:v>﻿doi</x:v>
      </x:c>
      <x:c r="B1" s="60" t="str">
        <x:v>crossref_ieee_member_match</x:v>
      </x:c>
      <x:c r="C1" s="60" t="str">
        <x:v>semantic_scholar_match</x:v>
      </x:c>
      <x:c r="D1" s="60" t="str">
        <x:v>title_exact_normalized_match</x:v>
      </x:c>
      <x:c r="E1" s="60" t="str">
        <x:v>abstract_present</x:v>
      </x:c>
      <x:c r="F1" s="60" t="str">
        <x:v>date_in_window</x:v>
      </x:c>
      <x:c r="G1" s="60" t="str">
        <x:v>venue</x:v>
      </x:c>
      <x:c r="H1" s="60" t="str">
        <x:v>predatory_venue_flag</x:v>
      </x:c>
      <x:c r="I1" s="60" t="str">
        <x:v>author_metadata_present</x:v>
      </x:c>
      <x:c r="J1" s="60" t="str">
        <x:v>coi_status</x:v>
      </x:c>
      <x:c r="K1" s="60" t="str">
        <x:v>verification_verdict</x:v>
      </x:c>
      <x:c r="L1" s="60" t="str">
        <x:v>verification_error</x:v>
      </x:c>
    </x:row>
    <x:row r="2">
      <x:c r="A2" s="61" t="str">
        <x:v>10.1109/tpel.2025.3538469</x:v>
      </x:c>
      <x:c r="B2" s="61" t="str">
        <x:v>True</x:v>
      </x:c>
      <x:c r="C2" s="61" t="str">
        <x:v>True</x:v>
      </x:c>
      <x:c r="D2" s="61" t="str">
        <x:v>True</x:v>
      </x:c>
      <x:c r="E2" s="61" t="str">
        <x:v>True</x:v>
      </x:c>
      <x:c r="F2" s="61" t="str">
        <x:v>True</x:v>
      </x:c>
      <x:c r="G2" s="61" t="str">
        <x:v>IEEE transactions on power electronics</x:v>
      </x:c>
      <x:c r="H2" s="61" t="str">
        <x:v>False</x:v>
      </x:c>
      <x:c r="I2" s="61" t="str">
        <x:v>True</x:v>
      </x:c>
      <x:c r="J2" s="61" t="str">
        <x:v>not_reported_in_retrieved_metadata</x:v>
      </x:c>
      <x:c r="K2" s="61" t="str">
        <x:v>VERIFIED</x:v>
      </x:c>
      <x:c r="L2" s="61" t="str"/>
    </x:row>
    <x:row r="3">
      <x:c r="A3" s="61" t="str">
        <x:v>10.1109/tpel.2025.3580291</x:v>
      </x:c>
      <x:c r="B3" s="61" t="str">
        <x:v>True</x:v>
      </x:c>
      <x:c r="C3" s="61" t="str">
        <x:v>True</x:v>
      </x:c>
      <x:c r="D3" s="61" t="str">
        <x:v>True</x:v>
      </x:c>
      <x:c r="E3" s="61" t="str">
        <x:v>True</x:v>
      </x:c>
      <x:c r="F3" s="61" t="str">
        <x:v>True</x:v>
      </x:c>
      <x:c r="G3" s="61" t="str">
        <x:v>IEEE transactions on power electronics</x:v>
      </x:c>
      <x:c r="H3" s="61" t="str">
        <x:v>False</x:v>
      </x:c>
      <x:c r="I3" s="61" t="str">
        <x:v>True</x:v>
      </x:c>
      <x:c r="J3" s="61" t="str">
        <x:v>not_reported_in_retrieved_metadata</x:v>
      </x:c>
      <x:c r="K3" s="61" t="str">
        <x:v>VERIFIED</x:v>
      </x:c>
      <x:c r="L3" s="61" t="str"/>
    </x:row>
    <x:row r="4">
      <x:c r="A4" s="61" t="str">
        <x:v>10.1109/tte.2024.3471867</x:v>
      </x:c>
      <x:c r="B4" s="61" t="str">
        <x:v>True</x:v>
      </x:c>
      <x:c r="C4" s="61" t="str">
        <x:v>True</x:v>
      </x:c>
      <x:c r="D4" s="61" t="str">
        <x:v>True</x:v>
      </x:c>
      <x:c r="E4" s="61" t="str">
        <x:v>True</x:v>
      </x:c>
      <x:c r="F4" s="61" t="str">
        <x:v>True</x:v>
      </x:c>
      <x:c r="G4" s="61" t="str">
        <x:v>IEEE Transactions on Transportation Electrification</x:v>
      </x:c>
      <x:c r="H4" s="61" t="str">
        <x:v>False</x:v>
      </x:c>
      <x:c r="I4" s="61" t="str">
        <x:v>True</x:v>
      </x:c>
      <x:c r="J4" s="61" t="str">
        <x:v>not_reported_in_retrieved_metadata</x:v>
      </x:c>
      <x:c r="K4" s="61" t="str">
        <x:v>VERIFIED</x:v>
      </x:c>
      <x:c r="L4" s="61" t="str"/>
    </x:row>
    <x:row r="5">
      <x:c r="A5" s="61" t="str">
        <x:v>10.1109/tte.2026.3686077</x:v>
      </x:c>
      <x:c r="B5" s="61" t="str">
        <x:v>True</x:v>
      </x:c>
      <x:c r="C5" s="61" t="str">
        <x:v>True</x:v>
      </x:c>
      <x:c r="D5" s="61" t="str">
        <x:v>True</x:v>
      </x:c>
      <x:c r="E5" s="61" t="str">
        <x:v>True</x:v>
      </x:c>
      <x:c r="F5" s="61" t="str">
        <x:v>True</x:v>
      </x:c>
      <x:c r="G5" s="61" t="str">
        <x:v>IEEE Transactions on Transportation Electrification</x:v>
      </x:c>
      <x:c r="H5" s="61" t="str">
        <x:v>False</x:v>
      </x:c>
      <x:c r="I5" s="61" t="str">
        <x:v>True</x:v>
      </x:c>
      <x:c r="J5" s="61" t="str">
        <x:v>not_reported_in_retrieved_metadata</x:v>
      </x:c>
      <x:c r="K5" s="61" t="str">
        <x:v>VERIFIED</x:v>
      </x:c>
      <x:c r="L5" s="61" t="str"/>
    </x:row>
    <x:row r="6">
      <x:c r="A6" s="61" t="str">
        <x:v>10.1109/tte.2025.3533540</x:v>
      </x:c>
      <x:c r="B6" s="61" t="str">
        <x:v>True</x:v>
      </x:c>
      <x:c r="C6" s="61" t="str">
        <x:v>True</x:v>
      </x:c>
      <x:c r="D6" s="61" t="str">
        <x:v>True</x:v>
      </x:c>
      <x:c r="E6" s="61" t="str">
        <x:v>True</x:v>
      </x:c>
      <x:c r="F6" s="61" t="str">
        <x:v>True</x:v>
      </x:c>
      <x:c r="G6" s="61" t="str">
        <x:v>IEEE Transactions on Transportation Electrification</x:v>
      </x:c>
      <x:c r="H6" s="61" t="str">
        <x:v>False</x:v>
      </x:c>
      <x:c r="I6" s="61" t="str">
        <x:v>True</x:v>
      </x:c>
      <x:c r="J6" s="61" t="str">
        <x:v>not_reported_in_retrieved_metadata</x:v>
      </x:c>
      <x:c r="K6" s="61" t="str">
        <x:v>VERIFIED</x:v>
      </x:c>
      <x:c r="L6" s="61" t="str"/>
    </x:row>
    <x:row r="7">
      <x:c r="A7" s="61" t="str">
        <x:v>10.1109/access.2025.3636613</x:v>
      </x:c>
      <x:c r="B7" s="61" t="str">
        <x:v>True</x:v>
      </x:c>
      <x:c r="C7" s="61" t="str">
        <x:v>True</x:v>
      </x:c>
      <x:c r="D7" s="61" t="str">
        <x:v>True</x:v>
      </x:c>
      <x:c r="E7" s="61" t="str">
        <x:v>True</x:v>
      </x:c>
      <x:c r="F7" s="61" t="str">
        <x:v>True</x:v>
      </x:c>
      <x:c r="G7" s="61" t="str">
        <x:v>IEEE Access</x:v>
      </x:c>
      <x:c r="H7" s="61" t="str">
        <x:v>False</x:v>
      </x:c>
      <x:c r="I7" s="61" t="str">
        <x:v>True</x:v>
      </x:c>
      <x:c r="J7" s="61" t="str">
        <x:v>not_reported_in_retrieved_metadata</x:v>
      </x:c>
      <x:c r="K7" s="61" t="str">
        <x:v>VERIFIED</x:v>
      </x:c>
      <x:c r="L7" s="61" t="str"/>
    </x:row>
    <x:row r="8">
      <x:c r="A8" s="61" t="str">
        <x:v>10.1109/flics70075.2026.11621953</x:v>
      </x:c>
      <x:c r="B8" s="61" t="str">
        <x:v>True</x:v>
      </x:c>
      <x:c r="C8" s="61" t="str">
        <x:v>True</x:v>
      </x:c>
      <x:c r="D8" s="61" t="str">
        <x:v>True</x:v>
      </x:c>
      <x:c r="E8" s="61" t="str">
        <x:v>True</x:v>
      </x:c>
      <x:c r="F8" s="61" t="str">
        <x:v>True</x:v>
      </x:c>
      <x:c r="G8" s="61" t="str">
        <x:v>2026 2nd International Conference on Federated Learning and Intelligent Computing Systems (FLICS)</x:v>
      </x:c>
      <x:c r="H8" s="61" t="str">
        <x:v>False</x:v>
      </x:c>
      <x:c r="I8" s="61" t="str">
        <x:v>True</x:v>
      </x:c>
      <x:c r="J8" s="61" t="str">
        <x:v>not_reported_in_retrieved_metadata</x:v>
      </x:c>
      <x:c r="K8" s="61" t="str">
        <x:v>VERIFIED</x:v>
      </x:c>
      <x:c r="L8" s="61" t="str"/>
    </x:row>
    <x:row r="9">
      <x:c r="A9" s="61" t="str">
        <x:v>10.1109/eurocon64445.2025.11073369</x:v>
      </x:c>
      <x:c r="B9" s="61" t="str">
        <x:v>True</x:v>
      </x:c>
      <x:c r="C9" s="61" t="str">
        <x:v>True</x:v>
      </x:c>
      <x:c r="D9" s="61" t="str">
        <x:v>True</x:v>
      </x:c>
      <x:c r="E9" s="61" t="str">
        <x:v>True</x:v>
      </x:c>
      <x:c r="F9" s="61" t="str">
        <x:v>True</x:v>
      </x:c>
      <x:c r="G9" s="61" t="str">
        <x:v>EUROCON Conference</x:v>
      </x:c>
      <x:c r="H9" s="61" t="str">
        <x:v>False</x:v>
      </x:c>
      <x:c r="I9" s="61" t="str">
        <x:v>True</x:v>
      </x:c>
      <x:c r="J9" s="61" t="str">
        <x:v>not_reported_in_retrieved_metadata</x:v>
      </x:c>
      <x:c r="K9" s="61" t="str">
        <x:v>VERIFIED</x:v>
      </x:c>
      <x:c r="L9" s="61" t="str"/>
    </x:row>
    <x:row r="10">
      <x:c r="A10" s="61" t="str">
        <x:v>10.1109/jestie.2025.3618621</x:v>
      </x:c>
      <x:c r="B10" s="61" t="str">
        <x:v>True</x:v>
      </x:c>
      <x:c r="C10" s="61" t="str">
        <x:v>True</x:v>
      </x:c>
      <x:c r="D10" s="61" t="str">
        <x:v>True</x:v>
      </x:c>
      <x:c r="E10" s="61" t="str">
        <x:v>True</x:v>
      </x:c>
      <x:c r="F10" s="61" t="str">
        <x:v>True</x:v>
      </x:c>
      <x:c r="G10" s="61" t="str">
        <x:v>IEEE Journal of Emerging and Selected Topics in Industrial Electronics</x:v>
      </x:c>
      <x:c r="H10" s="61" t="str">
        <x:v>False</x:v>
      </x:c>
      <x:c r="I10" s="61" t="str">
        <x:v>True</x:v>
      </x:c>
      <x:c r="J10" s="61" t="str">
        <x:v>not_reported_in_retrieved_metadata</x:v>
      </x:c>
      <x:c r="K10" s="61" t="str">
        <x:v>VERIFIED</x:v>
      </x:c>
      <x:c r="L10" s="61" t="str"/>
    </x:row>
    <x:row r="11">
      <x:c r="A11" s="61" t="str">
        <x:v>10.1109/sas65169.2025.11105130</x:v>
      </x:c>
      <x:c r="B11" s="61" t="str">
        <x:v>True</x:v>
      </x:c>
      <x:c r="C11" s="61" t="str">
        <x:v>True</x:v>
      </x:c>
      <x:c r="D11" s="61" t="str">
        <x:v>True</x:v>
      </x:c>
      <x:c r="E11" s="61" t="str">
        <x:v>True</x:v>
      </x:c>
      <x:c r="F11" s="61" t="str">
        <x:v>True</x:v>
      </x:c>
      <x:c r="G11" s="61" t="str">
        <x:v>Sensors Applications Symposium</x:v>
      </x:c>
      <x:c r="H11" s="61" t="str">
        <x:v>False</x:v>
      </x:c>
      <x:c r="I11" s="61" t="str">
        <x:v>True</x:v>
      </x:c>
      <x:c r="J11" s="61" t="str">
        <x:v>not_reported_in_retrieved_metadata</x:v>
      </x:c>
      <x:c r="K11" s="61" t="str">
        <x:v>VERIFIED</x:v>
      </x:c>
      <x:c r="L11" s="61" t="str"/>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9" hidden="0" customWidth="1"/>
    <x:col min="2" max="2" width="18" hidden="0" customWidth="1"/>
    <x:col min="3" max="3" width="4" hidden="0" customWidth="1"/>
    <x:col min="4" max="4" width="24" hidden="0" customWidth="1"/>
    <x:col min="5" max="5" width="14" hidden="0" customWidth="1"/>
    <x:col min="6" max="6" width="38" hidden="0" customWidth="1"/>
  </x:cols>
  <x:sheetData>
    <x:row r="1" ht="30" customHeight="1">
      <x:c r="A1" s="6" t="str">
        <x:v>IEEE SOH Literature Evidence — ARS Phase 2</x:v>
      </x:c>
      <x:c r="B1" s="6"/>
      <x:c r="C1" s="6"/>
      <x:c r="D1" s="6"/>
      <x:c r="E1" s="6"/>
      <x:c r="F1" s="6"/>
    </x:row>
    <x:row r="3">
      <x:c r="A3" s="12" t="str">
        <x:v>Metric</x:v>
      </x:c>
      <x:c r="B3" s="13" t="str">
        <x:v>Value</x:v>
      </x:c>
      <x:c r="D3" s="10" t="str">
        <x:v>Audit boundary</x:v>
      </x:c>
      <x:c r="E3" s="10" t="str">
        <x:v>Status</x:v>
      </x:c>
      <x:c r="F3" s="10" t="str">
        <x:v>Meaning</x:v>
      </x:c>
    </x:row>
    <x:row r="4">
      <x:c r="A4" s="16" t="str">
        <x:v>Search/verification calls logged</x:v>
      </x:c>
      <x:c r="B4" s="17" t="n">
        <x:f>COUNTA('Search Log'!A2:A200)</x:f>
        <x:v>12</x:v>
      </x:c>
      <x:c r="D4" s="32" t="str">
        <x:v>Model code modified</x:v>
      </x:c>
      <x:c r="E4" s="32" t="str">
        <x:v>No</x:v>
      </x:c>
      <x:c r="F4" s="32" t="str">
        <x:v>Literature-only phase</x:v>
      </x:c>
    </x:row>
    <x:row r="5">
      <x:c r="A5" s="18" t="str">
        <x:v>IEEE candidates screened</x:v>
      </x:c>
      <x:c r="B5" s="19" t="n">
        <x:f>COUNTA('Candidates'!F2:F500)</x:f>
        <x:v>103</x:v>
      </x:c>
      <x:c r="D5" s="33" t="str">
        <x:v>Test battery selected</x:v>
      </x:c>
      <x:c r="E5" s="33" t="str">
        <x:v>No</x:v>
      </x:c>
      <x:c r="F5" s="33" t="str">
        <x:v>Untouched pool remains unassigned</x:v>
      </x:c>
    </x:row>
    <x:row r="6">
      <x:c r="A6" s="18" t="str">
        <x:v>Deep-read sources</x:v>
      </x:c>
      <x:c r="B6" s="19" t="n">
        <x:f>COUNTA('Deep Read'!A2:A100)</x:f>
        <x:v>10</x:v>
      </x:c>
      <x:c r="D6" s="33" t="str">
        <x:v>Full-text human read</x:v>
      </x:c>
      <x:c r="E6" s="33" t="str">
        <x:v>No</x:v>
      </x:c>
      <x:c r="F6" s="33" t="str">
        <x:v>Abstract-level verified corpus</x:v>
      </x:c>
    </x:row>
    <x:row r="7">
      <x:c r="A7" s="18" t="str">
        <x:v>Verified deep reads</x:v>
      </x:c>
      <x:c r="B7" s="19" t="n">
        <x:f>COUNTIF('Verification'!K2:K100,"VERIFIED")</x:f>
        <x:v>10</x:v>
      </x:c>
      <x:c r="D7" s="34" t="str">
        <x:v>Innovation selected</x:v>
      </x:c>
      <x:c r="E7" s="34" t="str">
        <x:v>No</x:v>
      </x:c>
      <x:c r="F7" s="34" t="str">
        <x:v>Requires Phase 3 synthesis + DA checkpoint</x:v>
      </x:c>
    </x:row>
    <x:row r="8">
      <x:c r="A8" s="20" t="str">
        <x:v>Phase 2 gate</x:v>
      </x:c>
      <x:c r="B8" s="30" t="str">
        <x:v>PASS</x:v>
      </x:c>
    </x:row>
    <x:row r="10">
      <x:c r="A10" s="44" t="str">
        <x:v>Interpretation: the Phase 2 gate confirms a reproducible and independently verified evidence corpus. It does not claim that any candidate method is already suitable for G-MTC, nor that the original baseline has reached the paper's numerical results.</x:v>
      </x:c>
      <x:c r="B10" s="44"/>
      <x:c r="C10" s="44"/>
      <x:c r="D10" s="44"/>
      <x:c r="E10" s="44"/>
      <x:c r="F10" s="44"/>
    </x:row>
    <x:row r="11">
      <x:c r="A11" s="44"/>
      <x:c r="B11" s="44"/>
      <x:c r="C11" s="44"/>
      <x:c r="D11" s="44"/>
      <x:c r="E11" s="44"/>
      <x:c r="F11" s="44"/>
    </x:row>
    <x:row r="12">
      <x:c r="A12" s="44"/>
      <x:c r="B12" s="44"/>
      <x:c r="C12" s="44"/>
      <x:c r="D12" s="44"/>
      <x:c r="E12" s="44"/>
      <x:c r="F12" s="44"/>
    </x:row>
  </x:sheetData>
  <x:mergeCells>
    <x:mergeCell ref="A1:F1"/>
    <x:mergeCell ref="A10:F10"/>
    <x:mergeCell ref="A11:F11"/>
    <x:mergeCell ref="A12:F1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34" hidden="0" customWidth="1"/>
    <x:col min="2" max="2" width="48" hidden="0" customWidth="1"/>
    <x:col min="3" max="3" width="17" hidden="0" customWidth="1"/>
    <x:col min="4" max="4" width="42" hidden="0" customWidth="1"/>
    <x:col min="5" max="5" width="42" hidden="0" customWidth="1"/>
    <x:col min="6" max="6" width="42" hidden="0" customWidth="1"/>
    <x:col min="7" max="7" width="16" hidden="0" customWidth="1"/>
  </x:cols>
  <x:sheetData>
    <x:row r="1">
      <x:c r="A1" s="48" t="str">
        <x:v>DOI</x:v>
      </x:c>
      <x:c r="B1" s="48" t="str">
        <x:v>Title</x:v>
      </x:c>
      <x:c r="C1" s="48" t="str">
        <x:v>Publication date</x:v>
      </x:c>
      <x:c r="D1" s="48" t="str">
        <x:v>Real-world problem</x:v>
      </x:c>
      <x:c r="E1" s="48" t="str">
        <x:v>Method</x:v>
      </x:c>
      <x:c r="F1" s="48" t="str">
        <x:v>G-MTC boundary</x:v>
      </x:c>
      <x:c r="G1" s="48" t="str">
        <x:v>Status</x:v>
      </x:c>
    </x:row>
    <x:row r="2" ht="88" customHeight="1">
      <x:c r="A2" s="52" t="str">
        <x:f>'Deep Read'!A2</x:f>
        <x:v>10.1109/tpel.2025.3538469</x:v>
      </x:c>
      <x:c r="B2" s="52" t="str">
        <x:f>'Deep Read'!B2</x:f>
        <x:v>Multisource Domain Metalearning Network for Battery State-of-Health Estimation Under Multitarget Working Conditions</x:v>
      </x:c>
      <x:c r="C2" s="52" t="str">
        <x:f>'Deep Read'!D2</x:f>
        <x:v>2025-07-01</x:v>
      </x:c>
      <x:c r="D2" s="52" t="str">
        <x:f>'Deep Read'!I2</x:f>
        <x:v>Multiple target operating conditions cause domain shift; single-target adaptation must be retrained for each new condition.</x:v>
      </x:c>
      <x:c r="E2" s="52" t="str">
        <x:f>'Deep Read'!J2</x:f>
        <x:v>Multisource domain meta-learning, meta-fusion, and an EMD recurrent-convolution feature extractor.</x:v>
      </x:c>
      <x:c r="F2" s="52" t="str">
        <x:f>'Deep Read'!P2</x:f>
        <x:v>High conceptual fit for cross-temperature/load validation, but the full meta-learning network would be too large as a single add-on.</x:v>
      </x:c>
      <x:c r="G2" s="52" t="str">
        <x:f>'Deep Read'!T2</x:f>
        <x:v>VERIFIED</x:v>
      </x:c>
    </x:row>
    <x:row r="3" ht="88" customHeight="1">
      <x:c r="A3" s="52" t="str">
        <x:f>'Deep Read'!A3</x:f>
        <x:v>10.1109/tpel.2025.3580291</x:v>
      </x:c>
      <x:c r="B3" s="52" t="str">
        <x:f>'Deep Read'!B3</x:f>
        <x:v>State of Health Estimation for Lithium-Ion Battery With Label-Free Data Based on Deep Domain Feature Independent Alignment Network</x:v>
      </x:c>
      <x:c r="C3" s="52" t="str">
        <x:f>'Deep Read'!D3</x:f>
        <x:v>2025-10-01</x:v>
      </x:c>
      <x:c r="D3" s="52" t="str">
        <x:f>'Deep Read'!I3</x:f>
        <x:v>Target batteries lack SOH labels and differ by temperature, chemistry, and charge/discharge strategy.</x:v>
      </x:c>
      <x:c r="E3" s="52" t="str">
        <x:f>'Deep Read'!J3</x:f>
        <x:v>Lightweight deep domain feature independent alignment with dynamic convolution and feature-space independent alignment.</x:v>
      </x:c>
      <x:c r="F3" s="52" t="str">
        <x:f>'Deep Read'!P3</x:f>
        <x:v>Moderate-to-high conceptual fit, but current 60/20/20 protocol uses target labels and is not label-free.</x:v>
      </x:c>
      <x:c r="G3" s="52" t="str">
        <x:f>'Deep Read'!T3</x:f>
        <x:v>VERIFIED</x:v>
      </x:c>
    </x:row>
    <x:row r="4" ht="88" customHeight="1">
      <x:c r="A4" s="52" t="str">
        <x:f>'Deep Read'!A4</x:f>
        <x:v>10.1109/tte.2024.3471867</x:v>
      </x:c>
      <x:c r="B4" s="52" t="str">
        <x:f>'Deep Read'!B4</x:f>
        <x:v>State of Health Estimation of Lithium-Ion Batteries Using Data Augmentation and Feature Mapping</x:v>
      </x:c>
      <x:c r="C4" s="52" t="str">
        <x:f>'Deep Read'!D4</x:f>
        <x:v>2025-02-01</x:v>
      </x:c>
      <x:c r="D4" s="52" t="str">
        <x:f>'Deep Read'!I4</x:f>
        <x:v>Small battery datasets are slow to collect and models adapt poorly across batteries.</x:v>
      </x:c>
      <x:c r="E4" s="52" t="str">
        <x:f>'Deep Read'!J4</x:f>
        <x:v>GAN augmentation with consistent Gaussian noise plus a feature-mapping module to reduce cross-dataset differences.</x:v>
      </x:c>
      <x:c r="F4" s="52" t="str">
        <x:f>'Deep Read'!P4</x:f>
        <x:v>Already overlaps the reproduced paper's SCF-GAN/small-sample premise; poor novelty as another main innovation.</x:v>
      </x:c>
      <x:c r="G4" s="52" t="str">
        <x:f>'Deep Read'!T4</x:f>
        <x:v>VERIFIED</x:v>
      </x:c>
    </x:row>
    <x:row r="5" ht="88" customHeight="1">
      <x:c r="A5" s="52" t="str">
        <x:f>'Deep Read'!A5</x:f>
        <x:v>10.1109/tte.2026.3686077</x:v>
      </x:c>
      <x:c r="B5" s="52" t="str">
        <x:f>'Deep Read'!B5</x:f>
        <x:v>Physics-Informed Deep Gated Recurrent Unit Network for Lithium-Ion Battery State of Health Estimation Under Field Conditions</x:v>
      </x:c>
      <x:c r="C5" s="52" t="str">
        <x:f>'Deep Read'!D5</x:f>
        <x:v>2026-08-01</x:v>
      </x:c>
      <x:c r="D5" s="52" t="str">
        <x:f>'Deep Read'!I5</x:f>
        <x:v>Field EV data have unreliable SOH labels, segmented charging, domain shift, and weak interpretability.</x:v>
      </x:c>
      <x:c r="E5" s="52" t="str">
        <x:f>'Deep Read'!J5</x:f>
        <x:v>Capacity/uncertainty estimation with modified inverse ampere-hour integration and BEAST, feature screening, PIDGRU/DeepHPM, and Bayesian uncertainty-constrained training.</x:v>
      </x:c>
      <x:c r="F5" s="52" t="str">
        <x:f>'Deep Read'!P5</x:f>
        <x:v>Pain point is highly relevant, but copying the full PIDGRU/DeepHPM would violate the one-module and no-full-PINN constraints.</x:v>
      </x:c>
      <x:c r="G5" s="52" t="str">
        <x:f>'Deep Read'!T5</x:f>
        <x:v>VERIFIED</x:v>
      </x:c>
    </x:row>
    <x:row r="6" ht="88" customHeight="1">
      <x:c r="A6" s="52" t="str">
        <x:f>'Deep Read'!A6</x:f>
        <x:v>10.1109/tte.2025.3533540</x:v>
      </x:c>
      <x:c r="B6" s="52" t="str">
        <x:f>'Deep Read'!B6</x:f>
        <x:v>Transfer Learning-Based Lithium-Ion Battery State of Health Estimation With Electrochemical Impedance Spectroscopy</x:v>
      </x:c>
      <x:c r="C6" s="52" t="str">
        <x:f>'Deep Read'!D6</x:f>
        <x:v>2025-06-01</x:v>
      </x:c>
      <x:c r="D6" s="52" t="str">
        <x:f>'Deep Read'!I6</x:f>
        <x:v>SOH models must generalize across temperature and cell type while retaining physical interpretability.</x:v>
      </x:c>
      <x:c r="E6" s="52" t="str">
        <x:f>'Deep Read'!J6</x:f>
        <x:v>Equivalent-circuit features from EIS, spatiotemporal LSTM, and transfer learning.</x:v>
      </x:c>
      <x:c r="F6" s="52" t="str">
        <x:f>'Deep Read'!P6</x:f>
        <x:v>Low direct feasibility because the current HF/STL pipeline does not use dense EIS spectra.</x:v>
      </x:c>
      <x:c r="G6" s="52" t="str">
        <x:f>'Deep Read'!T6</x:f>
        <x:v>VERIFIED</x:v>
      </x:c>
    </x:row>
    <x:row r="7" ht="88" customHeight="1">
      <x:c r="A7" s="52" t="str">
        <x:f>'Deep Read'!A7</x:f>
        <x:v>10.1109/access.2025.3636613</x:v>
      </x:c>
      <x:c r="B7" s="52" t="str">
        <x:f>'Deep Read'!B7</x:f>
        <x:v>Aging and Performance Analysis of 18650 Lithium-Ion Cell Capacity Degradation: Data-Driven Insights and Modeling</x:v>
      </x:c>
      <x:c r="C7" s="52" t="str">
        <x:f>'Deep Read'!D7</x:f>
        <x:v>2025</x:v>
      </x:c>
      <x:c r="D7" s="52" t="str">
        <x:f>'Deep Read'!I7</x:f>
        <x:v>Second-life screening needs interpretable, low-cost operational indicators and predictive uncertainty.</x:v>
      </x:c>
      <x:c r="E7" s="52" t="str">
        <x:f>'Deep Read'!J7</x:f>
        <x:v>Cycle segmentation, cycle-time/internal-impedance indicators, and Gaussian-process regression with multiple kernels.</x:v>
      </x:c>
      <x:c r="F7" s="52" t="str">
        <x:f>'Deep Read'!P7</x:f>
        <x:v>Moderate fit for uncertainty or operational-feature diagnostics; small two-cell evidence limits generalization.</x:v>
      </x:c>
      <x:c r="G7" s="52" t="str">
        <x:f>'Deep Read'!T7</x:f>
        <x:v>VERIFIED</x:v>
      </x:c>
    </x:row>
    <x:row r="8" ht="88" customHeight="1">
      <x:c r="A8" s="52" t="str">
        <x:f>'Deep Read'!A8</x:f>
        <x:v>10.1109/flics70075.2026.11621953</x:v>
      </x:c>
      <x:c r="B8" s="52" t="str">
        <x:f>'Deep Read'!B8</x:f>
        <x:v>Battery State of Health Estimation via Federated Learning on Diverse Data from Multiple Sources</x:v>
      </x:c>
      <x:c r="C8" s="52" t="str">
        <x:f>'Deep Read'!D8</x:f>
        <x:v>2026-06-01</x:v>
      </x:c>
      <x:c r="D8" s="52" t="str">
        <x:f>'Deep Read'!I8</x:f>
        <x:v>Models are confined to individual chemistries and laboratory datasets; distributed data cannot always be shared.</x:v>
      </x:c>
      <x:c r="E8" s="52" t="str">
        <x:f>'Deep Read'!J8</x:f>
        <x:v>Comparison of federated-learning strategies over heterogeneous multi-source SOH datasets.</x:v>
      </x:c>
      <x:c r="F8" s="52" t="str">
        <x:f>'Deep Read'!P8</x:f>
        <x:v>Low-to-moderate: realistic but introduces a distributed training system, which is too broad for one clean G-MTC innovation.</x:v>
      </x:c>
      <x:c r="G8" s="52" t="str">
        <x:f>'Deep Read'!T8</x:f>
        <x:v>VERIFIED</x:v>
      </x:c>
    </x:row>
    <x:row r="9" ht="88" customHeight="1">
      <x:c r="A9" s="52" t="str">
        <x:f>'Deep Read'!A9</x:f>
        <x:v>10.1109/eurocon64445.2025.11073369</x:v>
      </x:c>
      <x:c r="B9" s="52" t="str">
        <x:f>'Deep Read'!B9</x:f>
        <x:v>Battery Time-Series Data Augmentation Using a GAF-Based Generative Framework</x:v>
      </x:c>
      <x:c r="C9" s="52" t="str">
        <x:f>'Deep Read'!D9</x:f>
        <x:v>2025-06-04</x:v>
      </x:c>
      <x:c r="D9" s="52" t="str">
        <x:f>'Deep Read'!I9</x:f>
        <x:v>Battery time-series data are scarce for downstream state estimation.</x:v>
      </x:c>
      <x:c r="E9" s="52" t="str">
        <x:f>'Deep Read'!J9</x:f>
        <x:v>Gramian angular field encoding, DCGAN image synthesis, and inverse GAF reconstruction.</x:v>
      </x:c>
      <x:c r="F9" s="52" t="str">
        <x:f>'Deep Read'!P9</x:f>
        <x:v>Low novelty because G-MTC already contains SCF-GAN; replacing it would violate the frozen architecture.</x:v>
      </x:c>
      <x:c r="G9" s="52" t="str">
        <x:f>'Deep Read'!T9</x:f>
        <x:v>VERIFIED</x:v>
      </x:c>
    </x:row>
    <x:row r="10" ht="88" customHeight="1">
      <x:c r="A10" s="52" t="str">
        <x:f>'Deep Read'!A10</x:f>
        <x:v>10.1109/jestie.2025.3618621</x:v>
      </x:c>
      <x:c r="B10" s="52" t="str">
        <x:f>'Deep Read'!B10</x:f>
        <x:v>Explainable MFDWA-GRU Model for Battery State of Health Estimation</x:v>
      </x:c>
      <x:c r="C10" s="52" t="str">
        <x:f>'Deep Read'!D10</x:f>
        <x:v>2026-01-01</x:v>
      </x:c>
      <x:c r="D10" s="52" t="str">
        <x:f>'Deep Read'!I10</x:f>
        <x:v>SOH models need robustness across initial conditions, battery combinations, horizons, and interpretable feature influence.</x:v>
      </x:c>
      <x:c r="E10" s="52" t="str">
        <x:f>'Deep Read'!J10</x:f>
        <x:v>Multibranch dilated TCN with attention/dynamic weights, GRU, and SHAP explanations.</x:v>
      </x:c>
      <x:c r="F10" s="52" t="str">
        <x:f>'Deep Read'!P10</x:f>
        <x:v>Moderate for diagnostics, low for replacing the existing TimesNet/iTransformer branches.</x:v>
      </x:c>
      <x:c r="G10" s="52" t="str">
        <x:f>'Deep Read'!T10</x:f>
        <x:v>VERIFIED</x:v>
      </x:c>
    </x:row>
    <x:row r="11" ht="88" customHeight="1">
      <x:c r="A11" s="52" t="str">
        <x:f>'Deep Read'!A11</x:f>
        <x:v>10.1109/sas65169.2025.11105130</x:v>
      </x:c>
      <x:c r="B11" s="52" t="str">
        <x:f>'Deep Read'!B11</x:f>
        <x:v>An Innovative Magnetic Field Sensor based Method Predicting Lithium-ion Battery State-of-health</x:v>
      </x:c>
      <x:c r="C11" s="52" t="str">
        <x:f>'Deep Read'!D11</x:f>
        <x:v>2025-07-08</x:v>
      </x:c>
      <x:c r="D11" s="52" t="str">
        <x:f>'Deep Read'!I11</x:f>
        <x:v>Indirect BMS signals may miss structural aging and safety-relevant current inhomogeneity.</x:v>
      </x:c>
      <x:c r="E11" s="52" t="str">
        <x:f>'Deep Read'!J11</x:f>
        <x:v>External magnetic-field sensing with PLSR and CNN models.</x:v>
      </x:c>
      <x:c r="F11" s="52" t="str">
        <x:f>'Deep Read'!P11</x:f>
        <x:v>Very low implementation feasibility with current data despite strong application motivation.</x:v>
      </x:c>
      <x:c r="G11" s="52" t="str">
        <x:f>'Deep Read'!T11</x:f>
        <x:v>VERIFIED</x:v>
      </x:c>
    </x:row>
  </x:sheetData>
  <x:pageMargins left="0.7" right="0.7" top="0.75" bottom="0.75" header="0.3" footer="0.3"/>
</x:worksheet>
</file>